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11E52011173B9C9/Documents/"/>
    </mc:Choice>
  </mc:AlternateContent>
  <xr:revisionPtr revIDLastSave="0" documentId="8_{081D7FB4-B859-4B8F-A2E3-EB5348D1AA9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leaned Data" sheetId="1" r:id="rId1"/>
    <sheet name="Pivot Tables" sheetId="2" r:id="rId2"/>
    <sheet name="Dashboard" sheetId="10" r:id="rId3"/>
  </sheets>
  <definedNames>
    <definedName name="_xlnm._FilterDatabase" localSheetId="0" hidden="1">'Cleaned Data'!$A$1:$K$118</definedName>
  </definedName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2" i="1"/>
</calcChain>
</file>

<file path=xl/sharedStrings.xml><?xml version="1.0" encoding="utf-8"?>
<sst xmlns="http://schemas.openxmlformats.org/spreadsheetml/2006/main" count="836" uniqueCount="271">
  <si>
    <t>Transaction_ID</t>
  </si>
  <si>
    <t>Date</t>
  </si>
  <si>
    <t>Customer_Name</t>
  </si>
  <si>
    <t>Product</t>
  </si>
  <si>
    <t>Category</t>
  </si>
  <si>
    <t>Quantity</t>
  </si>
  <si>
    <t>Unit_Price</t>
  </si>
  <si>
    <t>Total_sales</t>
  </si>
  <si>
    <t>Region</t>
  </si>
  <si>
    <t>Salesperson</t>
  </si>
  <si>
    <t>T1000</t>
  </si>
  <si>
    <t>Fiona</t>
  </si>
  <si>
    <t>Tablet</t>
  </si>
  <si>
    <t>Electronics</t>
  </si>
  <si>
    <t>North</t>
  </si>
  <si>
    <t>Ola</t>
  </si>
  <si>
    <t>T1001</t>
  </si>
  <si>
    <t>Charles</t>
  </si>
  <si>
    <t>Headphones</t>
  </si>
  <si>
    <t>Accessories</t>
  </si>
  <si>
    <t>Mary</t>
  </si>
  <si>
    <t>T1002</t>
  </si>
  <si>
    <t>Emeka</t>
  </si>
  <si>
    <t>Printer</t>
  </si>
  <si>
    <t>Ada</t>
  </si>
  <si>
    <t>T1003</t>
  </si>
  <si>
    <t>George</t>
  </si>
  <si>
    <t>Laptop</t>
  </si>
  <si>
    <t>East</t>
  </si>
  <si>
    <t>Liam</t>
  </si>
  <si>
    <t>T1004</t>
  </si>
  <si>
    <t>Hannah</t>
  </si>
  <si>
    <t>Phone</t>
  </si>
  <si>
    <t>West</t>
  </si>
  <si>
    <t>T1005</t>
  </si>
  <si>
    <t>Bob</t>
  </si>
  <si>
    <t>Grace</t>
  </si>
  <si>
    <t>T1006</t>
  </si>
  <si>
    <t>Alice</t>
  </si>
  <si>
    <t>Keyboard</t>
  </si>
  <si>
    <t>John</t>
  </si>
  <si>
    <t>T1007</t>
  </si>
  <si>
    <t>South</t>
  </si>
  <si>
    <t>Fatima</t>
  </si>
  <si>
    <t>T1008</t>
  </si>
  <si>
    <t>Mouse</t>
  </si>
  <si>
    <t>T1009</t>
  </si>
  <si>
    <t>T1010</t>
  </si>
  <si>
    <t>T1011</t>
  </si>
  <si>
    <t>T1012</t>
  </si>
  <si>
    <t>T1013</t>
  </si>
  <si>
    <t>T1014</t>
  </si>
  <si>
    <t>Camera</t>
  </si>
  <si>
    <t>T1015</t>
  </si>
  <si>
    <t>Debby</t>
  </si>
  <si>
    <t>T1016</t>
  </si>
  <si>
    <t>T1017</t>
  </si>
  <si>
    <t>T1018</t>
  </si>
  <si>
    <t>T1019</t>
  </si>
  <si>
    <t>T1020</t>
  </si>
  <si>
    <t>T1021</t>
  </si>
  <si>
    <t>T1022</t>
  </si>
  <si>
    <t>T1024</t>
  </si>
  <si>
    <t>T1025</t>
  </si>
  <si>
    <t>T1027</t>
  </si>
  <si>
    <t>T1028</t>
  </si>
  <si>
    <t>Chidi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</si>
  <si>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</si>
  <si>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</si>
  <si>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</si>
  <si>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</si>
  <si>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</si>
  <si>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</si>
  <si>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</si>
  <si>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</si>
  <si>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</si>
  <si>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</si>
  <si>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</si>
  <si>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</si>
  <si>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</si>
  <si>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</si>
  <si>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</si>
  <si>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</si>
  <si>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</si>
  <si>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</si>
  <si>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</si>
  <si>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</si>
  <si>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</si>
  <si>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</si>
  <si>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</si>
  <si>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</si>
  <si>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</si>
  <si>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</si>
  <si>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</si>
  <si>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</si>
  <si>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</si>
  <si>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</si>
  <si>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</si>
  <si>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</si>
  <si>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</si>
  <si>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</si>
  <si>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</si>
  <si>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</si>
  <si>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</si>
  <si>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T1159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</si>
  <si>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</si>
  <si>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</si>
  <si>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</si>
  <si>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</si>
  <si>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</si>
  <si>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</si>
  <si>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</si>
  <si>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</si>
  <si>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</si>
  <si>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</si>
  <si>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</si>
  <si>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T1080</t>
  </si>
  <si>
    <t>T1081</t>
  </si>
  <si>
    <t>T1082</t>
  </si>
  <si>
    <t>T1083</t>
  </si>
  <si>
    <t>T1084</t>
  </si>
  <si>
    <t>T1085</t>
  </si>
  <si>
    <t>T1086</t>
  </si>
  <si>
    <t>T1088</t>
  </si>
  <si>
    <t>T1089</t>
  </si>
  <si>
    <t>T1090</t>
  </si>
  <si>
    <t>T1091</t>
  </si>
  <si>
    <t>T1092</t>
  </si>
  <si>
    <t>T1094</t>
  </si>
  <si>
    <t>T1095</t>
  </si>
  <si>
    <t>T1096</t>
  </si>
  <si>
    <t>T1097</t>
  </si>
  <si>
    <t>T1098</t>
  </si>
  <si>
    <t>T1100</t>
  </si>
  <si>
    <t>T1101</t>
  </si>
  <si>
    <t>T1103</t>
  </si>
  <si>
    <t>T1104</t>
  </si>
  <si>
    <t>T1105</t>
  </si>
  <si>
    <t>T1106</t>
  </si>
  <si>
    <t>T1107</t>
  </si>
  <si>
    <t>T1108</t>
  </si>
  <si>
    <t>T1109</t>
  </si>
  <si>
    <t>T1110</t>
  </si>
  <si>
    <t>T1111</t>
  </si>
  <si>
    <t>T1112</t>
  </si>
  <si>
    <t>T1113</t>
  </si>
  <si>
    <t>T1114</t>
  </si>
  <si>
    <t>T1115</t>
  </si>
  <si>
    <t>T1116</t>
  </si>
  <si>
    <t>T1117</t>
  </si>
  <si>
    <t>Sum of Total_sales</t>
  </si>
  <si>
    <t>Grand Total</t>
  </si>
  <si>
    <t>Accessories Total</t>
  </si>
  <si>
    <t>Electronics Total</t>
  </si>
  <si>
    <t>Row Labels</t>
  </si>
  <si>
    <t>2023</t>
  </si>
  <si>
    <t>2024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</si>
  <si>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</si>
  <si>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</si>
  <si>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</si>
  <si>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</si>
  <si>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</si>
  <si>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</si>
  <si>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</si>
  <si>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</si>
  <si>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</si>
  <si>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</si>
  <si>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</si>
  <si>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</si>
  <si>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Column Labels</t>
  </si>
  <si>
    <t>Average of Quantity</t>
  </si>
  <si>
    <t>Sales Margin</t>
  </si>
  <si>
    <t>18/10/2024</t>
  </si>
  <si>
    <t>29/07/2023</t>
  </si>
  <si>
    <t>16/08/2024</t>
  </si>
  <si>
    <t>01/05/2023</t>
  </si>
  <si>
    <t>12/10/2024</t>
  </si>
  <si>
    <t>19/06/2023</t>
  </si>
  <si>
    <t>10/01/2024</t>
  </si>
  <si>
    <t>31/07/2024</t>
  </si>
  <si>
    <t>25/12/2023</t>
  </si>
  <si>
    <t>01/09/2023</t>
  </si>
  <si>
    <t>23/12/2024</t>
  </si>
  <si>
    <t>24/01/2023</t>
  </si>
  <si>
    <t>22/09/2023</t>
  </si>
  <si>
    <t>09/12/2024</t>
  </si>
  <si>
    <t>23/04/2023</t>
  </si>
  <si>
    <t>02/06/2024</t>
  </si>
  <si>
    <t>15/04/2023</t>
  </si>
  <si>
    <t>17/02/2024</t>
  </si>
  <si>
    <t>27/09/2023</t>
  </si>
  <si>
    <t>30/03/2023</t>
  </si>
  <si>
    <t>01/06/2024</t>
  </si>
  <si>
    <t>28/03/2023</t>
  </si>
  <si>
    <t>01/07/2023</t>
  </si>
  <si>
    <t>11/04/2024</t>
  </si>
  <si>
    <t>14/06/2024</t>
  </si>
  <si>
    <t>01/12/2023</t>
  </si>
  <si>
    <t>11/02/2023</t>
  </si>
  <si>
    <t>25/11/2023</t>
  </si>
  <si>
    <t>20/12/2023</t>
  </si>
  <si>
    <t>08/11/2024</t>
  </si>
  <si>
    <t>26/03/2023</t>
  </si>
  <si>
    <t>20/02/2023</t>
  </si>
  <si>
    <t>08/10/2024</t>
  </si>
  <si>
    <t>17/07/2023</t>
  </si>
  <si>
    <t>19/01/2023</t>
  </si>
  <si>
    <t>25/12/2024</t>
  </si>
  <si>
    <t>16/10/2023</t>
  </si>
  <si>
    <t>02/11/2024</t>
  </si>
  <si>
    <t>15/06/2023</t>
  </si>
  <si>
    <t>18/06/2023</t>
  </si>
  <si>
    <t>20/09/2023</t>
  </si>
  <si>
    <t>17/10/2024</t>
  </si>
  <si>
    <t>30/06/2024</t>
  </si>
  <si>
    <t>22/05/2024</t>
  </si>
  <si>
    <t>23/11/2024</t>
  </si>
  <si>
    <t>15/07/2024</t>
  </si>
  <si>
    <t>21/11/2024</t>
  </si>
  <si>
    <t>06/09/2023</t>
  </si>
  <si>
    <t>27/03/2024</t>
  </si>
  <si>
    <t>03/01/2024</t>
  </si>
  <si>
    <t>06/10/2024</t>
  </si>
  <si>
    <t>15/09/2024</t>
  </si>
  <si>
    <t>03/11/2024</t>
  </si>
  <si>
    <t>21/01/2023</t>
  </si>
  <si>
    <t>21/03/2024</t>
  </si>
  <si>
    <t>20/07/2024</t>
  </si>
  <si>
    <t>25/11/2024</t>
  </si>
  <si>
    <t>20/10/2024</t>
  </si>
  <si>
    <t>27/08/2023</t>
  </si>
  <si>
    <t>13/09/2024</t>
  </si>
  <si>
    <t>11/11/2024</t>
  </si>
  <si>
    <t>13/11/2023</t>
  </si>
  <si>
    <t>08/10/2023</t>
  </si>
  <si>
    <t>20/08/2024</t>
  </si>
  <si>
    <t>12/03/2024</t>
  </si>
  <si>
    <t>31/05/2023</t>
  </si>
  <si>
    <t>17/04/2023</t>
  </si>
  <si>
    <t>10/11/2023</t>
  </si>
  <si>
    <t>20/06/2023</t>
  </si>
  <si>
    <t>30/12/2023</t>
  </si>
  <si>
    <t>17/02/2023</t>
  </si>
  <si>
    <t>11/01/2024</t>
  </si>
  <si>
    <t>26/04/2023</t>
  </si>
  <si>
    <t>03/06/2023</t>
  </si>
  <si>
    <t>31/08/2023</t>
  </si>
  <si>
    <t>08/01/2024</t>
  </si>
  <si>
    <t>04/09/2023</t>
  </si>
  <si>
    <t>02/09/2023</t>
  </si>
  <si>
    <t>24/06/2023</t>
  </si>
  <si>
    <t>03/09/2024</t>
  </si>
  <si>
    <t>02/02/2023</t>
  </si>
  <si>
    <t>07/05/2023</t>
  </si>
  <si>
    <t>28/07/2023</t>
  </si>
  <si>
    <t>14/06/2023</t>
  </si>
  <si>
    <t>10/07/2024</t>
  </si>
  <si>
    <t>10/02/2023</t>
  </si>
  <si>
    <t>19/08/2023</t>
  </si>
  <si>
    <t>27/05/2023</t>
  </si>
  <si>
    <t>22/06/2023</t>
  </si>
  <si>
    <t>25/10/2023</t>
  </si>
  <si>
    <t>25/08/2023</t>
  </si>
  <si>
    <t>01/08/2024</t>
  </si>
  <si>
    <t>15/09/2023</t>
  </si>
  <si>
    <t>14/03/2024</t>
  </si>
  <si>
    <t>13/08/2023</t>
  </si>
  <si>
    <t>05/01/2023</t>
  </si>
  <si>
    <t>10/03/2024</t>
  </si>
  <si>
    <t>07/07/2023</t>
  </si>
  <si>
    <t>28/09/2023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</si>
</sst>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₦-46A]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AC8C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14" fontId="0" fillId="0" borderId="0" xfId="0" applyNumberFormat="1" applyAlignment="1">
      <alignment horizontal="right"/>
    </xf>
    <xf numFmtId="0" fontId="0" fillId="0" borderId="0" xfId="0" pivotButton="1"/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2">
    <dxf>
      <numFmt numFmtId="164" formatCode="[$₦-46A]#,##0"/>
    </dxf>
    <dxf>
      <numFmt numFmtId="164" formatCode="[$₦-46A]#,##0"/>
    </dxf>
  </dxfs>
  <tableStyles count="0" defaultTableStyle="TableStyleMedium9" defaultPivotStyle="PivotStyleLight16"/>
  <colors>
    <mruColors>
      <color rgb="FF57B2A1"/>
      <color rgb="FF7A9498"/>
      <color rgb="FF000D0E"/>
      <color rgb="FF001C1F"/>
      <color rgb="FF7A5458"/>
      <color rgb="FFBAC8C9"/>
      <color rgb="FF616C60"/>
      <color rgb="FF777777"/>
      <color rgb="FFE4DAF2"/>
      <color rgb="FFC2D1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Excel Project.xlsx]Pivot Tables!PivotTable4</c:name>
    <c:fmtId val="4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tx2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tx2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rgbClr val="C0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tx2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tx2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rgbClr val="C0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rgbClr val="57B2A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7A949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rgbClr val="57B2A1">
                <a:alpha val="50000"/>
              </a:srgb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7A949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rgbClr val="57B2A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7A949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rgbClr val="57B2A1">
                <a:alpha val="50000"/>
              </a:srgb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7A949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Tables'!$B$34:$B$35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rgbClr val="57B2A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Tables'!$A$36:$A$48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Tables'!$B$36:$B$48</c:f>
              <c:numCache>
                <c:formatCode>[$₦-46A]#,##0</c:formatCode>
                <c:ptCount val="12"/>
                <c:pt idx="0">
                  <c:v>1425000</c:v>
                </c:pt>
                <c:pt idx="1">
                  <c:v>1220000</c:v>
                </c:pt>
                <c:pt idx="2">
                  <c:v>650000</c:v>
                </c:pt>
                <c:pt idx="3">
                  <c:v>625000</c:v>
                </c:pt>
                <c:pt idx="4">
                  <c:v>725000</c:v>
                </c:pt>
                <c:pt idx="5">
                  <c:v>2690000</c:v>
                </c:pt>
                <c:pt idx="6">
                  <c:v>1700000</c:v>
                </c:pt>
                <c:pt idx="7">
                  <c:v>570000</c:v>
                </c:pt>
                <c:pt idx="8">
                  <c:v>3125000</c:v>
                </c:pt>
                <c:pt idx="9">
                  <c:v>450000</c:v>
                </c:pt>
                <c:pt idx="10">
                  <c:v>930000</c:v>
                </c:pt>
                <c:pt idx="11">
                  <c:v>1695000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50-4745-A33E-172C5C0A4255}"/>
            </c:ext>
          </c:extLst>
        </c:ser>
        <c:ser>
          <c:idx val="1"/>
          <c:order val="1"/>
          <c:tx>
            <c:strRef>
              <c:f>'Pivot Tables'!$C$34:$C$35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rgbClr val="57B2A1">
                  <a:alpha val="50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'Pivot Tables'!$A$36:$A$48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Tables'!$C$36:$C$48</c:f>
              <c:numCache>
                <c:formatCode>[$₦-46A]#,##0</c:formatCode>
                <c:ptCount val="12"/>
                <c:pt idx="0">
                  <c:v>840000</c:v>
                </c:pt>
                <c:pt idx="1">
                  <c:v>320000</c:v>
                </c:pt>
                <c:pt idx="2">
                  <c:v>1250000</c:v>
                </c:pt>
                <c:pt idx="3">
                  <c:v>285000</c:v>
                </c:pt>
                <c:pt idx="4">
                  <c:v>150000</c:v>
                </c:pt>
                <c:pt idx="5">
                  <c:v>1720000</c:v>
                </c:pt>
                <c:pt idx="6">
                  <c:v>1475000</c:v>
                </c:pt>
                <c:pt idx="7">
                  <c:v>845000</c:v>
                </c:pt>
                <c:pt idx="8">
                  <c:v>1135000</c:v>
                </c:pt>
                <c:pt idx="9">
                  <c:v>1035000</c:v>
                </c:pt>
                <c:pt idx="10">
                  <c:v>2180000</c:v>
                </c:pt>
                <c:pt idx="11">
                  <c:v>1040000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50-4745-A33E-172C5C0A4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7047776"/>
        <c:axId val="345475832"/>
      </c:lineChart>
      <c:catAx>
        <c:axId val="417047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rgbClr val="57B2A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475832"/>
        <c:crosses val="autoZero"/>
        <c:auto val="1"/>
        <c:lblAlgn val="ctr"/>
        <c:lblOffset val="100"/>
        <c:noMultiLvlLbl val="0"/>
      </c:catAx>
      <c:valAx>
        <c:axId val="345475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₦-46A]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rgbClr val="57B2A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04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rgbClr val="57B2A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rgbClr val="7A9498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Excel Project.xlsx]Pivot Tables!PivotTable3</c:name>
    <c:fmtId val="2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50000"/>
            </a:schemeClr>
          </a:solidFill>
          <a:ln>
            <a:solidFill>
              <a:schemeClr val="tx2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7A949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7B2A1"/>
          </a:solidFill>
          <a:ln>
            <a:solidFill>
              <a:schemeClr val="tx2">
                <a:lumMod val="50000"/>
              </a:schemeClr>
            </a:solidFill>
          </a:ln>
          <a:effectLst/>
        </c:spPr>
      </c:pivotFmt>
      <c:pivotFmt>
        <c:idx val="5"/>
        <c:spPr>
          <a:solidFill>
            <a:srgbClr val="57B2A1"/>
          </a:solidFill>
          <a:ln>
            <a:solidFill>
              <a:schemeClr val="tx2">
                <a:lumMod val="50000"/>
              </a:schemeClr>
            </a:solidFill>
          </a:ln>
          <a:effectLst/>
        </c:spPr>
      </c:pivotFmt>
      <c:pivotFmt>
        <c:idx val="6"/>
        <c:spPr>
          <a:solidFill>
            <a:srgbClr val="57B2A1"/>
          </a:solidFill>
          <a:ln>
            <a:solidFill>
              <a:schemeClr val="tx2">
                <a:lumMod val="50000"/>
              </a:schemeClr>
            </a:solidFill>
          </a:ln>
          <a:effectLst/>
        </c:spPr>
      </c:pivotFmt>
      <c:pivotFmt>
        <c:idx val="7"/>
        <c:spPr>
          <a:solidFill>
            <a:srgbClr val="57B2A1"/>
          </a:solidFill>
          <a:ln>
            <a:solidFill>
              <a:schemeClr val="tx2">
                <a:lumMod val="50000"/>
              </a:schemeClr>
            </a:solidFill>
          </a:ln>
          <a:effectLst/>
        </c:spPr>
      </c:pivotFmt>
      <c:pivotFmt>
        <c:idx val="8"/>
        <c:spPr>
          <a:solidFill>
            <a:srgbClr val="57B2A1"/>
          </a:solidFill>
          <a:ln>
            <a:solidFill>
              <a:schemeClr val="tx2">
                <a:lumMod val="50000"/>
              </a:schemeClr>
            </a:solidFill>
          </a:ln>
          <a:effectLst/>
        </c:spPr>
      </c:pivotFmt>
      <c:pivotFmt>
        <c:idx val="9"/>
        <c:spPr>
          <a:solidFill>
            <a:srgbClr val="57B2A1"/>
          </a:solidFill>
          <a:ln>
            <a:solidFill>
              <a:schemeClr val="tx2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rgbClr val="57B2A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57B2A1"/>
          </a:solidFill>
          <a:ln>
            <a:solidFill>
              <a:schemeClr val="tx2">
                <a:lumMod val="50000"/>
              </a:schemeClr>
            </a:solidFill>
          </a:ln>
          <a:effectLst/>
        </c:spPr>
      </c:pivotFmt>
      <c:pivotFmt>
        <c:idx val="11"/>
        <c:spPr>
          <a:solidFill>
            <a:srgbClr val="57B2A1"/>
          </a:solidFill>
          <a:ln>
            <a:solidFill>
              <a:schemeClr val="tx2">
                <a:lumMod val="50000"/>
              </a:schemeClr>
            </a:solidFill>
          </a:ln>
          <a:effectLst/>
        </c:spPr>
      </c:pivotFmt>
      <c:pivotFmt>
        <c:idx val="12"/>
        <c:spPr>
          <a:solidFill>
            <a:srgbClr val="57B2A1"/>
          </a:solidFill>
          <a:ln>
            <a:solidFill>
              <a:schemeClr val="tx2">
                <a:lumMod val="50000"/>
              </a:schemeClr>
            </a:solidFill>
          </a:ln>
          <a:effectLst/>
        </c:spPr>
      </c:pivotFmt>
      <c:pivotFmt>
        <c:idx val="13"/>
        <c:spPr>
          <a:solidFill>
            <a:srgbClr val="57B2A1"/>
          </a:solidFill>
          <a:ln>
            <a:solidFill>
              <a:schemeClr val="tx2">
                <a:lumMod val="50000"/>
              </a:schemeClr>
            </a:solidFill>
          </a:ln>
          <a:effectLst/>
        </c:spPr>
        <c:dLbl>
          <c:idx val="0"/>
          <c:layout>
            <c:manualLayout>
              <c:x val="-1.8521879938279844E-2"/>
              <c:y val="8.5184650185976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rgbClr val="57B2A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57B2A1"/>
          </a:solidFill>
          <a:ln>
            <a:solidFill>
              <a:schemeClr val="tx2">
                <a:lumMod val="50000"/>
              </a:schemeClr>
            </a:solidFill>
          </a:ln>
          <a:effectLst/>
        </c:spPr>
        <c:dLbl>
          <c:idx val="0"/>
          <c:layout>
            <c:manualLayout>
              <c:x val="-9.9733199667661754E-3"/>
              <c:y val="7.297205555399846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rgbClr val="57B2A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7B2A1"/>
            </a:solidFill>
            <a:ln>
              <a:solidFill>
                <a:schemeClr val="tx2">
                  <a:lumMod val="50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7B2A1"/>
              </a:solidFill>
              <a:ln>
                <a:solidFill>
                  <a:schemeClr val="tx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804-4004-981E-E3D9D50329D8}"/>
              </c:ext>
            </c:extLst>
          </c:dPt>
          <c:dPt>
            <c:idx val="1"/>
            <c:invertIfNegative val="0"/>
            <c:bubble3D val="0"/>
            <c:spPr>
              <a:solidFill>
                <a:srgbClr val="57B2A1"/>
              </a:solidFill>
              <a:ln>
                <a:solidFill>
                  <a:schemeClr val="tx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804-4004-981E-E3D9D50329D8}"/>
              </c:ext>
            </c:extLst>
          </c:dPt>
          <c:dPt>
            <c:idx val="2"/>
            <c:invertIfNegative val="0"/>
            <c:bubble3D val="0"/>
            <c:spPr>
              <a:solidFill>
                <a:srgbClr val="57B2A1"/>
              </a:solidFill>
              <a:ln>
                <a:solidFill>
                  <a:schemeClr val="tx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804-4004-981E-E3D9D50329D8}"/>
              </c:ext>
            </c:extLst>
          </c:dPt>
          <c:dPt>
            <c:idx val="3"/>
            <c:invertIfNegative val="0"/>
            <c:bubble3D val="0"/>
            <c:spPr>
              <a:solidFill>
                <a:srgbClr val="57B2A1"/>
              </a:solidFill>
              <a:ln>
                <a:solidFill>
                  <a:schemeClr val="tx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804-4004-981E-E3D9D50329D8}"/>
              </c:ext>
            </c:extLst>
          </c:dPt>
          <c:dPt>
            <c:idx val="4"/>
            <c:invertIfNegative val="0"/>
            <c:bubble3D val="0"/>
            <c:spPr>
              <a:solidFill>
                <a:srgbClr val="57B2A1"/>
              </a:solidFill>
              <a:ln>
                <a:solidFill>
                  <a:schemeClr val="tx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804-4004-981E-E3D9D50329D8}"/>
              </c:ext>
            </c:extLst>
          </c:dPt>
          <c:dLbls>
            <c:dLbl>
              <c:idx val="3"/>
              <c:layout>
                <c:manualLayout>
                  <c:x val="-1.8521879938279844E-2"/>
                  <c:y val="8.51846501859761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804-4004-981E-E3D9D50329D8}"/>
                </c:ext>
              </c:extLst>
            </c:dLbl>
            <c:dLbl>
              <c:idx val="4"/>
              <c:layout>
                <c:manualLayout>
                  <c:x val="-9.9733199667661754E-3"/>
                  <c:y val="7.297205555399846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804-4004-981E-E3D9D50329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rgbClr val="57B2A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Tables'!$A$26:$A$31</c:f>
              <c:strCache>
                <c:ptCount val="5"/>
                <c:pt idx="0">
                  <c:v>John</c:v>
                </c:pt>
                <c:pt idx="1">
                  <c:v>Ada</c:v>
                </c:pt>
                <c:pt idx="2">
                  <c:v>Liam</c:v>
                </c:pt>
                <c:pt idx="3">
                  <c:v>Fatima</c:v>
                </c:pt>
                <c:pt idx="4">
                  <c:v>Ola</c:v>
                </c:pt>
              </c:strCache>
            </c:strRef>
          </c:cat>
          <c:val>
            <c:numRef>
              <c:f>'Pivot Tables'!$B$26:$B$31</c:f>
              <c:numCache>
                <c:formatCode>[$₦-46A]#,##0</c:formatCode>
                <c:ptCount val="5"/>
                <c:pt idx="0">
                  <c:v>3670000</c:v>
                </c:pt>
                <c:pt idx="1">
                  <c:v>3695000</c:v>
                </c:pt>
                <c:pt idx="2">
                  <c:v>3750000</c:v>
                </c:pt>
                <c:pt idx="3">
                  <c:v>4265000</c:v>
                </c:pt>
                <c:pt idx="4">
                  <c:v>4310000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804-4004-981E-E3D9D50329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92571960"/>
        <c:axId val="592572320"/>
      </c:barChart>
      <c:catAx>
        <c:axId val="5925719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rgbClr val="57B2A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572320"/>
        <c:crosses val="autoZero"/>
        <c:auto val="1"/>
        <c:lblAlgn val="ctr"/>
        <c:lblOffset val="100"/>
        <c:noMultiLvlLbl val="0"/>
      </c:catAx>
      <c:valAx>
        <c:axId val="592572320"/>
        <c:scaling>
          <c:orientation val="minMax"/>
        </c:scaling>
        <c:delete val="1"/>
        <c:axPos val="b"/>
        <c:numFmt formatCode="[$₦-46A]#,##0" sourceLinked="1"/>
        <c:majorTickMark val="out"/>
        <c:minorTickMark val="none"/>
        <c:tickLblPos val="nextTo"/>
        <c:crossAx val="592571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15755760706936398"/>
          <c:w val="0.93557833089311859"/>
          <c:h val="0.67324654583271426"/>
        </c:manualLayout>
      </c:layout>
      <c:pie3DChart>
        <c:varyColors val="1"/>
        <c:ser>
          <c:idx val="0"/>
          <c:order val="0"/>
          <c:tx>
            <c:v>Total</c:v>
          </c:tx>
          <c:spPr>
            <a:solidFill>
              <a:srgbClr val="57B2A1"/>
            </a:solidFill>
          </c:spPr>
          <c:explosion val="8"/>
          <c:dPt>
            <c:idx val="0"/>
            <c:bubble3D val="0"/>
            <c:spPr>
              <a:solidFill>
                <a:srgbClr val="57B2A1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014D-44C8-B36B-29883495B9BD}"/>
              </c:ext>
            </c:extLst>
          </c:dPt>
          <c:dPt>
            <c:idx val="1"/>
            <c:bubble3D val="0"/>
            <c:spPr>
              <a:solidFill>
                <a:srgbClr val="57B2A1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014D-44C8-B36B-29883495B9BD}"/>
              </c:ext>
            </c:extLst>
          </c:dPt>
          <c:dPt>
            <c:idx val="2"/>
            <c:bubble3D val="0"/>
            <c:spPr>
              <a:solidFill>
                <a:srgbClr val="57B2A1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014D-44C8-B36B-29883495B9BD}"/>
              </c:ext>
            </c:extLst>
          </c:dPt>
          <c:dPt>
            <c:idx val="3"/>
            <c:bubble3D val="0"/>
            <c:spPr>
              <a:solidFill>
                <a:srgbClr val="57B2A1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014D-44C8-B36B-29883495B9BD}"/>
              </c:ext>
            </c:extLst>
          </c:dPt>
          <c:dLbls>
            <c:dLbl>
              <c:idx val="0"/>
              <c:layout>
                <c:manualLayout>
                  <c:x val="-0.18441207349081365"/>
                  <c:y val="5.0271580635753862E-2"/>
                </c:manualLayout>
              </c:layout>
              <c:tx>
                <c:rich>
                  <a:bodyPr/>
                  <a:lstStyle/>
                  <a:p>
                    <a:r>
                      <a:rPr lang="en-US" sz="2000" b="1">
                        <a:latin typeface="+mn-lt"/>
                      </a:rPr>
                      <a:t>South</a:t>
                    </a:r>
                  </a:p>
                  <a:p>
                    <a:r>
                      <a:rPr lang="en-US" sz="2000" b="1">
                        <a:latin typeface="+mn-lt"/>
                      </a:rPr>
                      <a:t>10445000</a:t>
                    </a:r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014D-44C8-B36B-29883495B9BD}"/>
                </c:ext>
              </c:extLst>
            </c:dLbl>
            <c:dLbl>
              <c:idx val="1"/>
              <c:layout>
                <c:manualLayout>
                  <c:x val="4.4279855643044617E-2"/>
                  <c:y val="-0.3308579396325460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2000" b="1">
                        <a:latin typeface="+mn-lt"/>
                      </a:rPr>
                      <a:t>West</a:t>
                    </a:r>
                  </a:p>
                  <a:p>
                    <a:pPr>
                      <a:defRPr sz="2000" b="1">
                        <a:solidFill>
                          <a:schemeClr val="tx1"/>
                        </a:solidFill>
                      </a:defRPr>
                    </a:pPr>
                    <a:r>
                      <a:rPr lang="en-US" sz="2000" b="1">
                        <a:latin typeface="+mn-lt"/>
                      </a:rPr>
                      <a:t>7480000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67639982502187"/>
                      <c:h val="0.16379629629629627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3-014D-44C8-B36B-29883495B9BD}"/>
                </c:ext>
              </c:extLst>
            </c:dLbl>
            <c:dLbl>
              <c:idx val="2"/>
              <c:layout>
                <c:manualLayout>
                  <c:x val="0.15929374453193351"/>
                  <c:y val="-0.10883894721493151"/>
                </c:manualLayout>
              </c:layout>
              <c:tx>
                <c:rich>
                  <a:bodyPr/>
                  <a:lstStyle/>
                  <a:p>
                    <a:r>
                      <a:rPr lang="en-US" sz="2000" b="1">
                        <a:solidFill>
                          <a:schemeClr val="tx1"/>
                        </a:solidFill>
                        <a:latin typeface="+mn-lt"/>
                      </a:rPr>
                      <a:t>South</a:t>
                    </a:r>
                  </a:p>
                  <a:p>
                    <a:r>
                      <a:rPr lang="en-US" sz="2000" b="1">
                        <a:solidFill>
                          <a:schemeClr val="tx1"/>
                        </a:solidFill>
                        <a:latin typeface="+mn-lt"/>
                      </a:rPr>
                      <a:t>6335000</a:t>
                    </a:r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014D-44C8-B36B-29883495B9BD}"/>
                </c:ext>
              </c:extLst>
            </c:dLbl>
            <c:dLbl>
              <c:idx val="3"/>
              <c:layout>
                <c:manualLayout>
                  <c:x val="0.15235181163971789"/>
                  <c:y val="0.1477728668291635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2000" b="1">
                        <a:latin typeface="+mn-lt"/>
                      </a:rPr>
                      <a:t>East</a:t>
                    </a:r>
                  </a:p>
                  <a:p>
                    <a:pPr>
                      <a:defRPr sz="2000" b="1">
                        <a:solidFill>
                          <a:schemeClr val="tx1"/>
                        </a:solidFill>
                      </a:defRPr>
                    </a:pPr>
                    <a:r>
                      <a:rPr lang="en-US" sz="2000" b="1">
                        <a:latin typeface="+mn-lt"/>
                      </a:rPr>
                      <a:t>3820000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13333363243185"/>
                      <c:h val="0.18127282880304277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7-014D-44C8-B36B-29883495B9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North</c:v>
              </c:pt>
              <c:pt idx="1">
                <c:v>West</c:v>
              </c:pt>
              <c:pt idx="2">
                <c:v>South</c:v>
              </c:pt>
              <c:pt idx="3">
                <c:v>East</c:v>
              </c:pt>
            </c:strLit>
          </c:cat>
          <c:val>
            <c:numLit>
              <c:formatCode>General</c:formatCode>
              <c:ptCount val="4"/>
              <c:pt idx="0">
                <c:v>10445000</c:v>
              </c:pt>
              <c:pt idx="1">
                <c:v>7480000</c:v>
              </c:pt>
              <c:pt idx="2">
                <c:v>6335000</c:v>
              </c:pt>
              <c:pt idx="3">
                <c:v>3820000</c:v>
              </c:pt>
            </c:numLit>
          </c:val>
          <c:extLst>
            <c:ext xmlns:c16="http://schemas.microsoft.com/office/drawing/2014/chart" uri="{C3380CC4-5D6E-409C-BE32-E72D297353CC}">
              <c16:uniqueId val="{00000008-014D-44C8-B36B-29883495B9B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Excel Project.xlsx]Pivot Tables!PivotTable2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7B2A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7B2A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rgbClr val="7A949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94096432561686"/>
          <c:y val="3.2570502758024242E-2"/>
          <c:w val="0.87059035674383134"/>
          <c:h val="0.706255119671962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7B2A1"/>
            </a:solidFill>
            <a:ln>
              <a:noFill/>
            </a:ln>
            <a:effectLst/>
          </c:spPr>
          <c:invertIfNegative val="0"/>
          <c:cat>
            <c:multiLvlStrRef>
              <c:f>'Pivot Tables'!$A$12:$B$22</c:f>
              <c:multiLvlStrCache>
                <c:ptCount val="8"/>
                <c:lvl>
                  <c:pt idx="0">
                    <c:v>East</c:v>
                  </c:pt>
                  <c:pt idx="1">
                    <c:v>North</c:v>
                  </c:pt>
                  <c:pt idx="2">
                    <c:v>South</c:v>
                  </c:pt>
                  <c:pt idx="3">
                    <c:v>West</c:v>
                  </c:pt>
                  <c:pt idx="4">
                    <c:v>East</c:v>
                  </c:pt>
                  <c:pt idx="5">
                    <c:v>North</c:v>
                  </c:pt>
                  <c:pt idx="6">
                    <c:v>South</c:v>
                  </c:pt>
                  <c:pt idx="7">
                    <c:v>West</c:v>
                  </c:pt>
                </c:lvl>
                <c:lvl>
                  <c:pt idx="0">
                    <c:v>Accessories</c:v>
                  </c:pt>
                  <c:pt idx="4">
                    <c:v>Electronics</c:v>
                  </c:pt>
                </c:lvl>
              </c:multiLvlStrCache>
            </c:multiLvlStrRef>
          </c:cat>
          <c:val>
            <c:numRef>
              <c:f>'Pivot Tables'!$C$12:$C$22</c:f>
              <c:numCache>
                <c:formatCode>General</c:formatCode>
                <c:ptCount val="8"/>
                <c:pt idx="0">
                  <c:v>2675000</c:v>
                </c:pt>
                <c:pt idx="1">
                  <c:v>6870000</c:v>
                </c:pt>
                <c:pt idx="2">
                  <c:v>3405000</c:v>
                </c:pt>
                <c:pt idx="3">
                  <c:v>3270000</c:v>
                </c:pt>
                <c:pt idx="4">
                  <c:v>1145000</c:v>
                </c:pt>
                <c:pt idx="5">
                  <c:v>3575000</c:v>
                </c:pt>
                <c:pt idx="6">
                  <c:v>2930000</c:v>
                </c:pt>
                <c:pt idx="7">
                  <c:v>4210000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1F-41F4-98FC-CA097D1E1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7112128"/>
        <c:axId val="557111768"/>
      </c:barChart>
      <c:catAx>
        <c:axId val="557112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57B2A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111768"/>
        <c:crosses val="autoZero"/>
        <c:auto val="1"/>
        <c:lblAlgn val="ctr"/>
        <c:lblOffset val="100"/>
        <c:noMultiLvlLbl val="0"/>
      </c:catAx>
      <c:valAx>
        <c:axId val="557111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57B2A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112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400">
          <a:solidFill>
            <a:srgbClr val="7A9498"/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4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chart" Target="../charts/chart3.xml"/><Relationship Id="rId5" Type="http://schemas.openxmlformats.org/officeDocument/2006/relationships/image" Target="../media/image5.png"/><Relationship Id="rId10" Type="http://schemas.openxmlformats.org/officeDocument/2006/relationships/chart" Target="../charts/chart2.xml"/><Relationship Id="rId4" Type="http://schemas.openxmlformats.org/officeDocument/2006/relationships/image" Target="../media/image4.svg"/><Relationship Id="rId9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390770</xdr:colOff>
      <xdr:row>2</xdr:row>
      <xdr:rowOff>97693</xdr:rowOff>
    </xdr:from>
    <xdr:to>
      <xdr:col>44</xdr:col>
      <xdr:colOff>439617</xdr:colOff>
      <xdr:row>88</xdr:row>
      <xdr:rowOff>62234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895CF82-B1BF-4F9E-CE8F-2803F79DEEC3}"/>
            </a:ext>
          </a:extLst>
        </xdr:cNvPr>
        <xdr:cNvSpPr/>
      </xdr:nvSpPr>
      <xdr:spPr>
        <a:xfrm>
          <a:off x="993206" y="455898"/>
          <a:ext cx="25953590" cy="15367362"/>
        </a:xfrm>
        <a:prstGeom prst="roundRect">
          <a:avLst/>
        </a:prstGeom>
        <a:solidFill>
          <a:srgbClr val="000D0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407051</xdr:colOff>
      <xdr:row>16</xdr:row>
      <xdr:rowOff>4217</xdr:rowOff>
    </xdr:from>
    <xdr:to>
      <xdr:col>23</xdr:col>
      <xdr:colOff>18662</xdr:colOff>
      <xdr:row>44</xdr:row>
      <xdr:rowOff>88604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3518BABC-D13C-7AC0-496D-5F6BB4D1618A}"/>
            </a:ext>
          </a:extLst>
        </xdr:cNvPr>
        <xdr:cNvSpPr/>
      </xdr:nvSpPr>
      <xdr:spPr>
        <a:xfrm>
          <a:off x="2214359" y="2869858"/>
          <a:ext cx="11660329" cy="5099259"/>
        </a:xfrm>
        <a:prstGeom prst="roundRect">
          <a:avLst/>
        </a:prstGeom>
        <a:solidFill>
          <a:srgbClr val="001C1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-1</xdr:colOff>
      <xdr:row>16</xdr:row>
      <xdr:rowOff>0</xdr:rowOff>
    </xdr:from>
    <xdr:to>
      <xdr:col>42</xdr:col>
      <xdr:colOff>130256</xdr:colOff>
      <xdr:row>44</xdr:row>
      <xdr:rowOff>88604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541D874-F236-4C24-B1E7-2414419227A0}"/>
            </a:ext>
          </a:extLst>
        </xdr:cNvPr>
        <xdr:cNvSpPr/>
      </xdr:nvSpPr>
      <xdr:spPr>
        <a:xfrm>
          <a:off x="14458461" y="2865641"/>
          <a:ext cx="10974103" cy="5103476"/>
        </a:xfrm>
        <a:prstGeom prst="roundRect">
          <a:avLst/>
        </a:prstGeom>
        <a:solidFill>
          <a:srgbClr val="001C1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602434</xdr:colOff>
      <xdr:row>46</xdr:row>
      <xdr:rowOff>20483</xdr:rowOff>
    </xdr:from>
    <xdr:to>
      <xdr:col>42</xdr:col>
      <xdr:colOff>-1</xdr:colOff>
      <xdr:row>81</xdr:row>
      <xdr:rowOff>-1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91244C6A-CE97-4EB0-A952-771238C6D2FF}"/>
            </a:ext>
          </a:extLst>
        </xdr:cNvPr>
        <xdr:cNvSpPr/>
      </xdr:nvSpPr>
      <xdr:spPr>
        <a:xfrm>
          <a:off x="14458460" y="8259201"/>
          <a:ext cx="10843847" cy="6248106"/>
        </a:xfrm>
        <a:prstGeom prst="roundRect">
          <a:avLst/>
        </a:prstGeom>
        <a:solidFill>
          <a:srgbClr val="001C1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521025</xdr:colOff>
      <xdr:row>46</xdr:row>
      <xdr:rowOff>122725</xdr:rowOff>
    </xdr:from>
    <xdr:to>
      <xdr:col>23</xdr:col>
      <xdr:colOff>142875</xdr:colOff>
      <xdr:row>81</xdr:row>
      <xdr:rowOff>5250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D9080611-3D89-4CE8-A9D7-FE1CBD4910F6}"/>
            </a:ext>
            <a:ext uri="{147F2762-F138-4A5C-976F-8EAC2B608ADB}">
              <a16:predDERef xmlns:a16="http://schemas.microsoft.com/office/drawing/2014/main" pred="{91244C6A-CE97-4EB0-A952-771238C6D2FF}"/>
            </a:ext>
          </a:extLst>
        </xdr:cNvPr>
        <xdr:cNvSpPr/>
      </xdr:nvSpPr>
      <xdr:spPr>
        <a:xfrm>
          <a:off x="2378400" y="8885725"/>
          <a:ext cx="12004350" cy="6550025"/>
        </a:xfrm>
        <a:prstGeom prst="roundRect">
          <a:avLst/>
        </a:prstGeom>
        <a:solidFill>
          <a:srgbClr val="001C1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204839</xdr:colOff>
      <xdr:row>9</xdr:row>
      <xdr:rowOff>-1</xdr:rowOff>
    </xdr:from>
    <xdr:to>
      <xdr:col>39</xdr:col>
      <xdr:colOff>392478</xdr:colOff>
      <xdr:row>14</xdr:row>
      <xdr:rowOff>-1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840556FF-78EA-993B-C70F-8D741F6EC2F1}"/>
            </a:ext>
          </a:extLst>
        </xdr:cNvPr>
        <xdr:cNvSpPr/>
      </xdr:nvSpPr>
      <xdr:spPr>
        <a:xfrm>
          <a:off x="15567742" y="1659193"/>
          <a:ext cx="8790865" cy="921774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</a:t>
          </a:r>
        </a:p>
      </xdr:txBody>
    </xdr:sp>
    <xdr:clientData/>
  </xdr:twoCellAnchor>
  <xdr:twoCellAnchor editAs="oneCell">
    <xdr:from>
      <xdr:col>25</xdr:col>
      <xdr:colOff>204839</xdr:colOff>
      <xdr:row>8</xdr:row>
      <xdr:rowOff>174171</xdr:rowOff>
    </xdr:from>
    <xdr:to>
      <xdr:col>26</xdr:col>
      <xdr:colOff>506918</xdr:colOff>
      <xdr:row>14</xdr:row>
      <xdr:rowOff>-1</xdr:rowOff>
    </xdr:to>
    <xdr:pic>
      <xdr:nvPicPr>
        <xdr:cNvPr id="15" name="Graphic 14" descr="Employee badge">
          <a:extLst>
            <a:ext uri="{FF2B5EF4-FFF2-40B4-BE49-F238E27FC236}">
              <a16:creationId xmlns:a16="http://schemas.microsoft.com/office/drawing/2014/main" id="{4082B18B-78ED-BF79-C91F-D90EF89FD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567742" y="1649010"/>
          <a:ext cx="916595" cy="931957"/>
        </a:xfrm>
        <a:prstGeom prst="rect">
          <a:avLst/>
        </a:prstGeom>
      </xdr:spPr>
    </xdr:pic>
    <xdr:clientData/>
  </xdr:twoCellAnchor>
  <xdr:twoCellAnchor editAs="oneCell">
    <xdr:from>
      <xdr:col>29</xdr:col>
      <xdr:colOff>148565</xdr:colOff>
      <xdr:row>8</xdr:row>
      <xdr:rowOff>153687</xdr:rowOff>
    </xdr:from>
    <xdr:to>
      <xdr:col>30</xdr:col>
      <xdr:colOff>450645</xdr:colOff>
      <xdr:row>13</xdr:row>
      <xdr:rowOff>160944</xdr:rowOff>
    </xdr:to>
    <xdr:pic>
      <xdr:nvPicPr>
        <xdr:cNvPr id="17" name="Graphic 16" descr="Money">
          <a:extLst>
            <a:ext uri="{FF2B5EF4-FFF2-40B4-BE49-F238E27FC236}">
              <a16:creationId xmlns:a16="http://schemas.microsoft.com/office/drawing/2014/main" id="{8770957B-6E56-ADA7-8F3F-B0B761149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7969533" y="1628526"/>
          <a:ext cx="916596" cy="929031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8</xdr:row>
      <xdr:rowOff>153687</xdr:rowOff>
    </xdr:from>
    <xdr:to>
      <xdr:col>38</xdr:col>
      <xdr:colOff>304275</xdr:colOff>
      <xdr:row>13</xdr:row>
      <xdr:rowOff>160944</xdr:rowOff>
    </xdr:to>
    <xdr:pic>
      <xdr:nvPicPr>
        <xdr:cNvPr id="19" name="Graphic 18" descr="Statistics">
          <a:extLst>
            <a:ext uri="{FF2B5EF4-FFF2-40B4-BE49-F238E27FC236}">
              <a16:creationId xmlns:a16="http://schemas.microsoft.com/office/drawing/2014/main" id="{4446699E-93FB-0540-5314-79762677D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2737097" y="1628526"/>
          <a:ext cx="918791" cy="929031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8</xdr:row>
      <xdr:rowOff>150761</xdr:rowOff>
    </xdr:from>
    <xdr:to>
      <xdr:col>34</xdr:col>
      <xdr:colOff>302078</xdr:colOff>
      <xdr:row>13</xdr:row>
      <xdr:rowOff>160944</xdr:rowOff>
    </xdr:to>
    <xdr:pic>
      <xdr:nvPicPr>
        <xdr:cNvPr id="21" name="Graphic 20" descr="Map with pin">
          <a:extLst>
            <a:ext uri="{FF2B5EF4-FFF2-40B4-BE49-F238E27FC236}">
              <a16:creationId xmlns:a16="http://schemas.microsoft.com/office/drawing/2014/main" id="{504C8806-42ED-2DA4-98C5-ADB658B54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20279032" y="1625600"/>
          <a:ext cx="916594" cy="931957"/>
        </a:xfrm>
        <a:prstGeom prst="rect">
          <a:avLst/>
        </a:prstGeom>
      </xdr:spPr>
    </xdr:pic>
    <xdr:clientData/>
  </xdr:twoCellAnchor>
  <xdr:twoCellAnchor>
    <xdr:from>
      <xdr:col>4</xdr:col>
      <xdr:colOff>488461</xdr:colOff>
      <xdr:row>17</xdr:row>
      <xdr:rowOff>65128</xdr:rowOff>
    </xdr:from>
    <xdr:to>
      <xdr:col>17</xdr:col>
      <xdr:colOff>0</xdr:colOff>
      <xdr:row>21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7C301F3B-A0F1-8042-75FA-AC7500527E75}"/>
            </a:ext>
          </a:extLst>
        </xdr:cNvPr>
        <xdr:cNvSpPr/>
      </xdr:nvSpPr>
      <xdr:spPr>
        <a:xfrm>
          <a:off x="2898205" y="3109872"/>
          <a:ext cx="7343205" cy="6512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200" b="1">
              <a:solidFill>
                <a:srgbClr val="57B2A1"/>
              </a:solidFill>
            </a:rPr>
            <a:t>Monthly Sales</a:t>
          </a:r>
          <a:r>
            <a:rPr lang="en-US" sz="3200" b="1" baseline="0">
              <a:solidFill>
                <a:srgbClr val="57B2A1"/>
              </a:solidFill>
            </a:rPr>
            <a:t> Trend(2023-2024</a:t>
          </a:r>
          <a:r>
            <a:rPr lang="en-US" sz="3200" b="1" baseline="0">
              <a:solidFill>
                <a:srgbClr val="7A9498"/>
              </a:solidFill>
            </a:rPr>
            <a:t>)</a:t>
          </a:r>
          <a:endParaRPr lang="en-US" sz="3200" b="1">
            <a:solidFill>
              <a:srgbClr val="7A9498"/>
            </a:solidFill>
          </a:endParaRPr>
        </a:p>
      </xdr:txBody>
    </xdr:sp>
    <xdr:clientData/>
  </xdr:twoCellAnchor>
  <xdr:twoCellAnchor>
    <xdr:from>
      <xdr:col>5</xdr:col>
      <xdr:colOff>244231</xdr:colOff>
      <xdr:row>48</xdr:row>
      <xdr:rowOff>162821</xdr:rowOff>
    </xdr:from>
    <xdr:to>
      <xdr:col>15</xdr:col>
      <xdr:colOff>537308</xdr:colOff>
      <xdr:row>52</xdr:row>
      <xdr:rowOff>65129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EA40B343-E7D3-42B8-9BE3-095835AAD833}"/>
            </a:ext>
          </a:extLst>
        </xdr:cNvPr>
        <xdr:cNvSpPr/>
      </xdr:nvSpPr>
      <xdr:spPr>
        <a:xfrm>
          <a:off x="3256410" y="8759744"/>
          <a:ext cx="6317436" cy="61871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200" b="1">
              <a:solidFill>
                <a:srgbClr val="57B2A1"/>
              </a:solidFill>
            </a:rPr>
            <a:t>Top</a:t>
          </a:r>
          <a:r>
            <a:rPr lang="en-US" sz="3200" b="1" baseline="0">
              <a:solidFill>
                <a:srgbClr val="57B2A1"/>
              </a:solidFill>
            </a:rPr>
            <a:t> 5 Salesperson By Sales</a:t>
          </a:r>
          <a:endParaRPr lang="en-US" sz="3200" b="1">
            <a:solidFill>
              <a:srgbClr val="57B2A1"/>
            </a:solidFill>
          </a:endParaRPr>
        </a:p>
      </xdr:txBody>
    </xdr:sp>
    <xdr:clientData/>
  </xdr:twoCellAnchor>
  <xdr:twoCellAnchor>
    <xdr:from>
      <xdr:col>24</xdr:col>
      <xdr:colOff>511241</xdr:colOff>
      <xdr:row>17</xdr:row>
      <xdr:rowOff>95250</xdr:rowOff>
    </xdr:from>
    <xdr:to>
      <xdr:col>31</xdr:col>
      <xdr:colOff>617377</xdr:colOff>
      <xdr:row>22</xdr:row>
      <xdr:rowOff>95251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808745AA-75E6-4008-9047-3E7217BF426F}"/>
            </a:ext>
            <a:ext uri="{147F2762-F138-4A5C-976F-8EAC2B608ADB}">
              <a16:predDERef xmlns:a16="http://schemas.microsoft.com/office/drawing/2014/main" pred="{EA40B343-E7D3-42B8-9BE3-095835AAD833}"/>
            </a:ext>
          </a:extLst>
        </xdr:cNvPr>
        <xdr:cNvSpPr/>
      </xdr:nvSpPr>
      <xdr:spPr>
        <a:xfrm>
          <a:off x="15370241" y="3333750"/>
          <a:ext cx="4440011" cy="95250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200"/>
            <a:t>  </a:t>
          </a:r>
          <a:r>
            <a:rPr lang="en-US" sz="3200" b="1">
              <a:solidFill>
                <a:srgbClr val="57B2A1"/>
              </a:solidFill>
            </a:rPr>
            <a:t>Total Sales By</a:t>
          </a:r>
          <a:r>
            <a:rPr lang="en-US" sz="3200" b="1" baseline="0">
              <a:solidFill>
                <a:srgbClr val="57B2A1"/>
              </a:solidFill>
            </a:rPr>
            <a:t> Category</a:t>
          </a:r>
          <a:endParaRPr lang="en-US" sz="3200" b="1">
            <a:solidFill>
              <a:srgbClr val="57B2A1"/>
            </a:solidFill>
          </a:endParaRPr>
        </a:p>
      </xdr:txBody>
    </xdr:sp>
    <xdr:clientData/>
  </xdr:twoCellAnchor>
  <xdr:twoCellAnchor>
    <xdr:from>
      <xdr:col>24</xdr:col>
      <xdr:colOff>466075</xdr:colOff>
      <xdr:row>47</xdr:row>
      <xdr:rowOff>160378</xdr:rowOff>
    </xdr:from>
    <xdr:to>
      <xdr:col>32</xdr:col>
      <xdr:colOff>238125</xdr:colOff>
      <xdr:row>53</xdr:row>
      <xdr:rowOff>176661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FBE86EB9-D760-413C-AEFF-88C9B22BC98E}"/>
            </a:ext>
            <a:ext uri="{147F2762-F138-4A5C-976F-8EAC2B608ADB}">
              <a16:predDERef xmlns:a16="http://schemas.microsoft.com/office/drawing/2014/main" pred="{808745AA-75E6-4008-9047-3E7217BF426F}"/>
            </a:ext>
          </a:extLst>
        </xdr:cNvPr>
        <xdr:cNvSpPr/>
      </xdr:nvSpPr>
      <xdr:spPr>
        <a:xfrm>
          <a:off x="15325075" y="9113878"/>
          <a:ext cx="4725050" cy="115928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200" b="1">
              <a:solidFill>
                <a:srgbClr val="57B2A1"/>
              </a:solidFill>
            </a:rPr>
            <a:t>Regional Sales Share</a:t>
          </a:r>
        </a:p>
      </xdr:txBody>
    </xdr:sp>
    <xdr:clientData/>
  </xdr:twoCellAnchor>
  <xdr:twoCellAnchor>
    <xdr:from>
      <xdr:col>7</xdr:col>
      <xdr:colOff>149337</xdr:colOff>
      <xdr:row>8</xdr:row>
      <xdr:rowOff>0</xdr:rowOff>
    </xdr:from>
    <xdr:to>
      <xdr:col>23</xdr:col>
      <xdr:colOff>18662</xdr:colOff>
      <xdr:row>15</xdr:row>
      <xdr:rowOff>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B5FD43A3-2577-489A-8F7E-F1716C51445F}"/>
            </a:ext>
          </a:extLst>
        </xdr:cNvPr>
        <xdr:cNvSpPr/>
      </xdr:nvSpPr>
      <xdr:spPr>
        <a:xfrm>
          <a:off x="4450950" y="1474839"/>
          <a:ext cx="9701583" cy="129048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600">
              <a:solidFill>
                <a:srgbClr val="57B2A1"/>
              </a:solidFill>
            </a:rPr>
            <a:t>RETAIL SALES</a:t>
          </a:r>
          <a:r>
            <a:rPr lang="en-US" sz="3600" baseline="0">
              <a:solidFill>
                <a:srgbClr val="57B2A1"/>
              </a:solidFill>
            </a:rPr>
            <a:t> PERFORMANCE DASHBOARD </a:t>
          </a:r>
        </a:p>
        <a:p>
          <a:pPr algn="l"/>
          <a:r>
            <a:rPr lang="en-US" sz="2000">
              <a:solidFill>
                <a:srgbClr val="57B2A1"/>
              </a:solidFill>
            </a:rPr>
            <a:t>ANALYZING</a:t>
          </a:r>
          <a:r>
            <a:rPr lang="en-US" sz="2000" baseline="0">
              <a:solidFill>
                <a:srgbClr val="57B2A1"/>
              </a:solidFill>
            </a:rPr>
            <a:t> SALES DATA AROUND REGIONS</a:t>
          </a:r>
          <a:r>
            <a:rPr lang="en-US" sz="2000" baseline="0">
              <a:solidFill>
                <a:srgbClr val="7A9498"/>
              </a:solidFill>
            </a:rPr>
            <a:t>         </a:t>
          </a:r>
          <a:endParaRPr lang="en-US" sz="2000">
            <a:solidFill>
              <a:srgbClr val="7A9498"/>
            </a:solidFill>
          </a:endParaRPr>
        </a:p>
      </xdr:txBody>
    </xdr:sp>
    <xdr:clientData/>
  </xdr:twoCellAnchor>
  <xdr:twoCellAnchor>
    <xdr:from>
      <xdr:col>5</xdr:col>
      <xdr:colOff>227949</xdr:colOff>
      <xdr:row>21</xdr:row>
      <xdr:rowOff>107830</xdr:rowOff>
    </xdr:from>
    <xdr:to>
      <xdr:col>22</xdr:col>
      <xdr:colOff>276795</xdr:colOff>
      <xdr:row>43</xdr:row>
      <xdr:rowOff>177208</xdr:rowOff>
    </xdr:to>
    <xdr:graphicFrame macro="">
      <xdr:nvGraphicFramePr>
        <xdr:cNvPr id="32" name="Chart 1">
          <a:extLst>
            <a:ext uri="{FF2B5EF4-FFF2-40B4-BE49-F238E27FC236}">
              <a16:creationId xmlns:a16="http://schemas.microsoft.com/office/drawing/2014/main" id="{7FB29F6B-30C6-0D1B-21A8-4A3C2AEFA28B}"/>
            </a:ext>
            <a:ext uri="{147F2762-F138-4A5C-976F-8EAC2B608ADB}">
              <a16:predDERef xmlns:a16="http://schemas.microsoft.com/office/drawing/2014/main" pred="{B5FD43A3-2577-489A-8F7E-F1716C5144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260512</xdr:colOff>
      <xdr:row>54</xdr:row>
      <xdr:rowOff>146538</xdr:rowOff>
    </xdr:from>
    <xdr:to>
      <xdr:col>22</xdr:col>
      <xdr:colOff>341922</xdr:colOff>
      <xdr:row>78</xdr:row>
      <xdr:rowOff>130256</xdr:rowOff>
    </xdr:to>
    <xdr:graphicFrame macro="">
      <xdr:nvGraphicFramePr>
        <xdr:cNvPr id="33" name="Chart 4">
          <a:extLst>
            <a:ext uri="{FF2B5EF4-FFF2-40B4-BE49-F238E27FC236}">
              <a16:creationId xmlns:a16="http://schemas.microsoft.com/office/drawing/2014/main" id="{5B3B8600-5F61-6CA0-16FE-B5FE8FD76F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244230</xdr:colOff>
      <xdr:row>50</xdr:row>
      <xdr:rowOff>0</xdr:rowOff>
    </xdr:from>
    <xdr:to>
      <xdr:col>43</xdr:col>
      <xdr:colOff>6644</xdr:colOff>
      <xdr:row>84</xdr:row>
      <xdr:rowOff>0</xdr:rowOff>
    </xdr:to>
    <xdr:graphicFrame macro="">
      <xdr:nvGraphicFramePr>
        <xdr:cNvPr id="34" name="Chart 2">
          <a:extLst>
            <a:ext uri="{FF2B5EF4-FFF2-40B4-BE49-F238E27FC236}">
              <a16:creationId xmlns:a16="http://schemas.microsoft.com/office/drawing/2014/main" id="{F2660454-1F90-2588-37A1-75CA7BDDB59C}"/>
            </a:ext>
            <a:ext uri="{147F2762-F138-4A5C-976F-8EAC2B608ADB}">
              <a16:predDERef xmlns:a16="http://schemas.microsoft.com/office/drawing/2014/main" pred="{5B3B8600-5F61-6CA0-16FE-B5FE8FD76F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502328</xdr:colOff>
      <xdr:row>22</xdr:row>
      <xdr:rowOff>14714</xdr:rowOff>
    </xdr:from>
    <xdr:to>
      <xdr:col>40</xdr:col>
      <xdr:colOff>437436</xdr:colOff>
      <xdr:row>43</xdr:row>
      <xdr:rowOff>61178</xdr:rowOff>
    </xdr:to>
    <xdr:graphicFrame macro="">
      <xdr:nvGraphicFramePr>
        <xdr:cNvPr id="35" name="Chart 1">
          <a:extLst>
            <a:ext uri="{FF2B5EF4-FFF2-40B4-BE49-F238E27FC236}">
              <a16:creationId xmlns:a16="http://schemas.microsoft.com/office/drawing/2014/main" id="{9C3A1DEB-6207-D955-54AA-2AC14395099B}"/>
            </a:ext>
            <a:ext uri="{147F2762-F138-4A5C-976F-8EAC2B608ADB}">
              <a16:predDERef xmlns:a16="http://schemas.microsoft.com/office/drawing/2014/main" pred="{F2660454-1F90-2588-37A1-75CA7BDDB5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9.088269907406" createdVersion="8" refreshedVersion="8" minRefreshableVersion="3" recordCount="110" xr:uid="{14FEDDF1-6307-4584-8E16-61CB1FE2F7EE}">
  <cacheSource type="worksheet">
    <worksheetSource ref="A1:K111" sheet="Cleaned Data"/>
  </cacheSource>
  <cacheFields count="12">
    <cacheField name="Transaction_ID" numFmtId="0">
      <sharedItems/>
    </cacheField>
    <cacheField name="Date" numFmtId="14">
      <sharedItems containsSemiMixedTypes="0" containsNonDate="0" containsDate="1" containsString="0" minDate="2023-01-05T00:00:00" maxDate="2024-12-26T00:00:00" count="99">
        <d v="2024-10-18T00:00:00"/>
        <d v="2023-07-29T00:00:00"/>
        <d v="2024-08-16T00:00:00"/>
        <d v="2023-05-01T00:00:00"/>
        <d v="2024-10-12T00:00:00"/>
        <d v="2023-06-19T00:00:00"/>
        <d v="2024-01-10T00:00:00"/>
        <d v="2024-07-31T00:00:00"/>
        <d v="2023-12-25T00:00:00"/>
        <d v="2023-09-01T00:00:00"/>
        <d v="2024-12-23T00:00:00"/>
        <d v="2023-01-24T00:00:00"/>
        <d v="2023-09-22T00:00:00"/>
        <d v="2024-12-09T00:00:00"/>
        <d v="2023-04-23T00:00:00"/>
        <d v="2024-06-02T00:00:00"/>
        <d v="2023-04-15T00:00:00"/>
        <d v="2024-02-17T00:00:00"/>
        <d v="2023-09-27T00:00:00"/>
        <d v="2023-03-30T00:00:00"/>
        <d v="2024-06-01T00:00:00"/>
        <d v="2023-03-28T00:00:00"/>
        <d v="2023-07-01T00:00:00"/>
        <d v="2024-04-11T00:00:00"/>
        <d v="2024-06-14T00:00:00"/>
        <d v="2023-12-01T00:00:00"/>
        <d v="2023-02-11T00:00:00"/>
        <d v="2023-11-25T00:00:00"/>
        <d v="2023-12-20T00:00:00"/>
        <d v="2024-11-08T00:00:00"/>
        <d v="2023-03-26T00:00:00"/>
        <d v="2023-02-20T00:00:00"/>
        <d v="2024-10-08T00:00:00"/>
        <d v="2023-07-17T00:00:00"/>
        <d v="2023-01-19T00:00:00"/>
        <d v="2024-12-25T00:00:00"/>
        <d v="2023-10-16T00:00:00"/>
        <d v="2024-11-02T00:00:00"/>
        <d v="2023-06-15T00:00:00"/>
        <d v="2023-06-18T00:00:00"/>
        <d v="2023-09-20T00:00:00"/>
        <d v="2024-10-17T00:00:00"/>
        <d v="2024-06-30T00:00:00"/>
        <d v="2024-05-22T00:00:00"/>
        <d v="2024-11-23T00:00:00"/>
        <d v="2024-07-15T00:00:00"/>
        <d v="2024-11-21T00:00:00"/>
        <d v="2023-09-06T00:00:00"/>
        <d v="2024-03-27T00:00:00"/>
        <d v="2024-01-03T00:00:00"/>
        <d v="2024-10-06T00:00:00"/>
        <d v="2024-09-15T00:00:00"/>
        <d v="2024-11-03T00:00:00"/>
        <d v="2023-01-21T00:00:00"/>
        <d v="2024-03-21T00:00:00"/>
        <d v="2024-07-20T00:00:00"/>
        <d v="2024-11-25T00:00:00"/>
        <d v="2024-10-20T00:00:00"/>
        <d v="2023-08-27T00:00:00"/>
        <d v="2024-09-13T00:00:00"/>
        <d v="2024-11-11T00:00:00"/>
        <d v="2023-11-13T00:00:00"/>
        <d v="2023-10-08T00:00:00"/>
        <d v="2024-08-20T00:00:00"/>
        <d v="2024-03-12T00:00:00"/>
        <d v="2023-05-31T00:00:00"/>
        <d v="2023-04-17T00:00:00"/>
        <d v="2023-11-10T00:00:00"/>
        <d v="2023-06-20T00:00:00"/>
        <d v="2023-12-30T00:00:00"/>
        <d v="2023-02-17T00:00:00"/>
        <d v="2024-01-11T00:00:00"/>
        <d v="2023-04-26T00:00:00"/>
        <d v="2023-06-03T00:00:00"/>
        <d v="2023-08-31T00:00:00"/>
        <d v="2024-01-08T00:00:00"/>
        <d v="2023-09-04T00:00:00"/>
        <d v="2023-09-02T00:00:00"/>
        <d v="2023-06-24T00:00:00"/>
        <d v="2024-09-03T00:00:00"/>
        <d v="2023-02-02T00:00:00"/>
        <d v="2023-05-07T00:00:00"/>
        <d v="2023-07-28T00:00:00"/>
        <d v="2023-06-14T00:00:00"/>
        <d v="2024-07-10T00:00:00"/>
        <d v="2023-02-10T00:00:00"/>
        <d v="2023-08-19T00:00:00"/>
        <d v="2023-05-27T00:00:00"/>
        <d v="2023-06-22T00:00:00"/>
        <d v="2023-10-25T00:00:00"/>
        <d v="2023-08-25T00:00:00"/>
        <d v="2024-08-01T00:00:00"/>
        <d v="2023-09-15T00:00:00"/>
        <d v="2024-03-14T00:00:00"/>
        <d v="2023-08-13T00:00:00"/>
        <d v="2023-01-05T00:00:00"/>
        <d v="2024-03-10T00:00:00"/>
        <d v="2023-07-07T00:00:00"/>
        <d v="2023-09-28T00:00:00"/>
      </sharedItems>
      <fieldGroup par="11"/>
    </cacheField>
    <cacheField name="Customer_Name" numFmtId="0">
      <sharedItems/>
    </cacheField>
    <cacheField name="Product" numFmtId="0">
      <sharedItems/>
    </cacheField>
    <cacheField name="Category" numFmtId="0">
      <sharedItems count="2">
        <s v="Electronics"/>
        <s v="Accessories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containsInteger="1" minValue="15000" maxValue="100000"/>
    </cacheField>
    <cacheField name="Total_sales" numFmtId="0">
      <sharedItems containsSemiMixedTypes="0" containsString="0" containsNumber="1" containsInteger="1" minValue="15000" maxValue="900000" count="33">
        <n v="175000"/>
        <n v="300000"/>
        <n v="800000"/>
        <n v="125000"/>
        <n v="150000"/>
        <n v="140000"/>
        <n v="400000"/>
        <n v="375000"/>
        <n v="200000"/>
        <n v="600000"/>
        <n v="100000"/>
        <n v="120000"/>
        <n v="75000"/>
        <n v="15000"/>
        <n v="450000"/>
        <n v="225000"/>
        <n v="525000"/>
        <n v="900000"/>
        <n v="60000"/>
        <n v="80000"/>
        <n v="675000"/>
        <n v="40000"/>
        <n v="50000"/>
        <n v="350000"/>
        <n v="30000"/>
        <n v="160000"/>
        <n v="180000"/>
        <n v="20000"/>
        <n v="135000"/>
        <n v="25000"/>
        <n v="45000"/>
        <n v="105000"/>
        <n v="700000"/>
      </sharedItems>
    </cacheField>
    <cacheField name="Region" numFmtId="0">
      <sharedItems count="4">
        <s v="North"/>
        <s v="East"/>
        <s v="West"/>
        <s v="South"/>
      </sharedItems>
    </cacheField>
    <cacheField name="Salesperson" numFmtId="0">
      <sharedItems count="8">
        <s v="Ola"/>
        <s v="Mary"/>
        <s v="Ada"/>
        <s v="Liam"/>
        <s v="Grace"/>
        <s v="John"/>
        <s v="Fatima"/>
        <s v="Chidi"/>
      </sharedItems>
    </cacheField>
    <cacheField name="Months (Date)" numFmtId="0" databaseField="0">
      <fieldGroup base="1">
        <rangePr groupBy="months" startDate="2023-01-05T00:00:00" endDate="2024-12-26T00:00:00"/>
        <groupItems count="14">
          <s v="&lt;1/5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6/2024"/>
        </groupItems>
      </fieldGroup>
    </cacheField>
    <cacheField name="Years (Date)" numFmtId="0" databaseField="0">
      <fieldGroup base="1">
        <rangePr groupBy="years" startDate="2023-01-05T00:00:00" endDate="2024-12-26T00:00:00"/>
        <groupItems count="4">
          <s v="&lt;1/5/2023"/>
          <s v="2023"/>
          <s v="2024"/>
          <s v="&gt;12/26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s v="T1000"/>
    <x v="0"/>
    <s v="Fiona"/>
    <s v="Tablet"/>
    <x v="0"/>
    <n v="7"/>
    <n v="25000"/>
    <x v="0"/>
    <x v="0"/>
    <x v="0"/>
  </r>
  <r>
    <s v="T1001"/>
    <x v="1"/>
    <s v="Charles"/>
    <s v="Headphones"/>
    <x v="1"/>
    <n v="4"/>
    <n v="75000"/>
    <x v="1"/>
    <x v="0"/>
    <x v="1"/>
  </r>
  <r>
    <s v="T1002"/>
    <x v="2"/>
    <s v="Emeka"/>
    <s v="Printer"/>
    <x v="1"/>
    <n v="8"/>
    <n v="100000"/>
    <x v="2"/>
    <x v="0"/>
    <x v="2"/>
  </r>
  <r>
    <s v="T1003"/>
    <x v="3"/>
    <s v="George"/>
    <s v="Laptop"/>
    <x v="0"/>
    <n v="5"/>
    <n v="25000"/>
    <x v="3"/>
    <x v="1"/>
    <x v="3"/>
  </r>
  <r>
    <s v="T1004"/>
    <x v="4"/>
    <s v="Hannah"/>
    <s v="Phone"/>
    <x v="0"/>
    <n v="7"/>
    <n v="25000"/>
    <x v="0"/>
    <x v="2"/>
    <x v="0"/>
  </r>
  <r>
    <s v="T1005"/>
    <x v="5"/>
    <s v="Bob"/>
    <s v="Laptop"/>
    <x v="0"/>
    <n v="3"/>
    <n v="50000"/>
    <x v="4"/>
    <x v="0"/>
    <x v="4"/>
  </r>
  <r>
    <s v="T1006"/>
    <x v="6"/>
    <s v="Alice"/>
    <s v="Keyboard"/>
    <x v="1"/>
    <n v="7"/>
    <n v="20000"/>
    <x v="5"/>
    <x v="0"/>
    <x v="5"/>
  </r>
  <r>
    <s v="T1007"/>
    <x v="7"/>
    <s v="George"/>
    <s v="Phone"/>
    <x v="0"/>
    <n v="8"/>
    <n v="50000"/>
    <x v="6"/>
    <x v="3"/>
    <x v="6"/>
  </r>
  <r>
    <s v="T1008"/>
    <x v="8"/>
    <s v="Charles"/>
    <s v="Mouse"/>
    <x v="1"/>
    <n v="5"/>
    <n v="75000"/>
    <x v="7"/>
    <x v="1"/>
    <x v="2"/>
  </r>
  <r>
    <s v="T1009"/>
    <x v="9"/>
    <s v="Emeka"/>
    <s v="Mouse"/>
    <x v="1"/>
    <n v="4"/>
    <n v="100000"/>
    <x v="6"/>
    <x v="2"/>
    <x v="5"/>
  </r>
  <r>
    <s v="T1010"/>
    <x v="10"/>
    <s v="Charles"/>
    <s v="Printer"/>
    <x v="1"/>
    <n v="8"/>
    <n v="50000"/>
    <x v="6"/>
    <x v="2"/>
    <x v="2"/>
  </r>
  <r>
    <s v="T1011"/>
    <x v="11"/>
    <s v="George"/>
    <s v="Phone"/>
    <x v="0"/>
    <n v="8"/>
    <n v="25000"/>
    <x v="8"/>
    <x v="2"/>
    <x v="1"/>
  </r>
  <r>
    <s v="T1012"/>
    <x v="12"/>
    <s v="Emeka"/>
    <s v="Keyboard"/>
    <x v="1"/>
    <n v="3"/>
    <n v="100000"/>
    <x v="1"/>
    <x v="1"/>
    <x v="2"/>
  </r>
  <r>
    <s v="T1013"/>
    <x v="13"/>
    <s v="Alice"/>
    <s v="Phone"/>
    <x v="0"/>
    <n v="6"/>
    <n v="100000"/>
    <x v="9"/>
    <x v="3"/>
    <x v="2"/>
  </r>
  <r>
    <s v="T1014"/>
    <x v="14"/>
    <s v="Bob"/>
    <s v="Camera"/>
    <x v="1"/>
    <n v="5"/>
    <n v="25000"/>
    <x v="3"/>
    <x v="0"/>
    <x v="0"/>
  </r>
  <r>
    <s v="T1015"/>
    <x v="15"/>
    <s v="Debby"/>
    <s v="Printer"/>
    <x v="1"/>
    <n v="2"/>
    <n v="50000"/>
    <x v="10"/>
    <x v="2"/>
    <x v="3"/>
  </r>
  <r>
    <s v="T1016"/>
    <x v="16"/>
    <s v="Bob"/>
    <s v="Tablet"/>
    <x v="0"/>
    <n v="8"/>
    <n v="25000"/>
    <x v="8"/>
    <x v="0"/>
    <x v="2"/>
  </r>
  <r>
    <s v="T1017"/>
    <x v="17"/>
    <s v="Alice"/>
    <s v="Camera"/>
    <x v="1"/>
    <n v="6"/>
    <n v="20000"/>
    <x v="11"/>
    <x v="0"/>
    <x v="5"/>
  </r>
  <r>
    <s v="T1018"/>
    <x v="18"/>
    <s v="Hannah"/>
    <s v="Camera"/>
    <x v="1"/>
    <n v="2"/>
    <n v="100000"/>
    <x v="8"/>
    <x v="3"/>
    <x v="1"/>
  </r>
  <r>
    <s v="T1019"/>
    <x v="19"/>
    <s v="Debby"/>
    <s v="Phone"/>
    <x v="0"/>
    <n v="5"/>
    <n v="15000"/>
    <x v="12"/>
    <x v="3"/>
    <x v="3"/>
  </r>
  <r>
    <s v="T1020"/>
    <x v="20"/>
    <s v="George"/>
    <s v="Phone"/>
    <x v="0"/>
    <n v="1"/>
    <n v="15000"/>
    <x v="13"/>
    <x v="0"/>
    <x v="3"/>
  </r>
  <r>
    <s v="T1021"/>
    <x v="21"/>
    <s v="Fiona"/>
    <s v="Mouse"/>
    <x v="1"/>
    <n v="6"/>
    <n v="75000"/>
    <x v="14"/>
    <x v="2"/>
    <x v="1"/>
  </r>
  <r>
    <s v="T1022"/>
    <x v="22"/>
    <s v="Emeka"/>
    <s v="Laptop"/>
    <x v="0"/>
    <n v="9"/>
    <n v="25000"/>
    <x v="15"/>
    <x v="0"/>
    <x v="1"/>
  </r>
  <r>
    <s v="T1024"/>
    <x v="23"/>
    <s v="Charles"/>
    <s v="Tablet"/>
    <x v="0"/>
    <n v="3"/>
    <n v="75000"/>
    <x v="15"/>
    <x v="0"/>
    <x v="3"/>
  </r>
  <r>
    <s v="T1025"/>
    <x v="24"/>
    <s v="Bob"/>
    <s v="Printer"/>
    <x v="1"/>
    <n v="7"/>
    <n v="75000"/>
    <x v="16"/>
    <x v="0"/>
    <x v="0"/>
  </r>
  <r>
    <s v="T1027"/>
    <x v="25"/>
    <s v="Debby"/>
    <s v="Keyboard"/>
    <x v="1"/>
    <n v="9"/>
    <n v="100000"/>
    <x v="17"/>
    <x v="0"/>
    <x v="6"/>
  </r>
  <r>
    <s v="T1028"/>
    <x v="26"/>
    <s v="Hannah"/>
    <s v="Tablet"/>
    <x v="0"/>
    <n v="3"/>
    <n v="20000"/>
    <x v="18"/>
    <x v="0"/>
    <x v="7"/>
  </r>
  <r>
    <s v="T1029"/>
    <x v="27"/>
    <s v="Bob"/>
    <s v="Keyboard"/>
    <x v="1"/>
    <n v="5"/>
    <n v="25000"/>
    <x v="3"/>
    <x v="3"/>
    <x v="6"/>
  </r>
  <r>
    <s v="T1030"/>
    <x v="28"/>
    <s v="Bob"/>
    <s v="Headphones"/>
    <x v="1"/>
    <n v="3"/>
    <n v="100000"/>
    <x v="1"/>
    <x v="3"/>
    <x v="5"/>
  </r>
  <r>
    <s v="T1031"/>
    <x v="29"/>
    <s v="Bob"/>
    <s v="Laptop"/>
    <x v="0"/>
    <n v="7"/>
    <n v="75000"/>
    <x v="16"/>
    <x v="3"/>
    <x v="4"/>
  </r>
  <r>
    <s v="T1032"/>
    <x v="30"/>
    <s v="Charles"/>
    <s v="Mouse"/>
    <x v="1"/>
    <n v="5"/>
    <n v="25000"/>
    <x v="3"/>
    <x v="0"/>
    <x v="2"/>
  </r>
  <r>
    <s v="T1033"/>
    <x v="31"/>
    <s v="Bob"/>
    <s v="Laptop"/>
    <x v="0"/>
    <n v="9"/>
    <n v="100000"/>
    <x v="17"/>
    <x v="2"/>
    <x v="4"/>
  </r>
  <r>
    <s v="T1034"/>
    <x v="32"/>
    <s v="George"/>
    <s v="Headphones"/>
    <x v="1"/>
    <n v="7"/>
    <n v="20000"/>
    <x v="5"/>
    <x v="1"/>
    <x v="6"/>
  </r>
  <r>
    <s v="T1035"/>
    <x v="33"/>
    <s v="Alice"/>
    <s v="Keyboard"/>
    <x v="1"/>
    <n v="2"/>
    <n v="100000"/>
    <x v="8"/>
    <x v="1"/>
    <x v="1"/>
  </r>
  <r>
    <s v="T1036"/>
    <x v="26"/>
    <s v="George"/>
    <s v="Keyboard"/>
    <x v="1"/>
    <n v="4"/>
    <n v="20000"/>
    <x v="19"/>
    <x v="2"/>
    <x v="5"/>
  </r>
  <r>
    <s v="T1037"/>
    <x v="34"/>
    <s v="Debby"/>
    <s v="Laptop"/>
    <x v="0"/>
    <n v="9"/>
    <n v="75000"/>
    <x v="20"/>
    <x v="0"/>
    <x v="7"/>
  </r>
  <r>
    <s v="T1038"/>
    <x v="35"/>
    <s v="Alice"/>
    <s v="Camera"/>
    <x v="1"/>
    <n v="2"/>
    <n v="20000"/>
    <x v="21"/>
    <x v="1"/>
    <x v="2"/>
  </r>
  <r>
    <s v="T1039"/>
    <x v="36"/>
    <s v="Alice"/>
    <s v="Headphones"/>
    <x v="1"/>
    <n v="9"/>
    <n v="25000"/>
    <x v="15"/>
    <x v="2"/>
    <x v="2"/>
  </r>
  <r>
    <s v="T1040"/>
    <x v="37"/>
    <s v="Alice"/>
    <s v="Mouse"/>
    <x v="1"/>
    <n v="5"/>
    <n v="75000"/>
    <x v="7"/>
    <x v="3"/>
    <x v="6"/>
  </r>
  <r>
    <s v="T1041"/>
    <x v="38"/>
    <s v="Debby"/>
    <s v="Tablet"/>
    <x v="0"/>
    <n v="2"/>
    <n v="25000"/>
    <x v="22"/>
    <x v="0"/>
    <x v="5"/>
  </r>
  <r>
    <s v="T1042"/>
    <x v="23"/>
    <s v="Charles"/>
    <s v="Camera"/>
    <x v="1"/>
    <n v="4"/>
    <n v="15000"/>
    <x v="18"/>
    <x v="0"/>
    <x v="1"/>
  </r>
  <r>
    <s v="T1043"/>
    <x v="39"/>
    <s v="George"/>
    <s v="Laptop"/>
    <x v="0"/>
    <n v="7"/>
    <n v="50000"/>
    <x v="23"/>
    <x v="2"/>
    <x v="4"/>
  </r>
  <r>
    <s v="T1045"/>
    <x v="40"/>
    <s v="Emeka"/>
    <s v="Camera"/>
    <x v="1"/>
    <n v="3"/>
    <n v="50000"/>
    <x v="4"/>
    <x v="1"/>
    <x v="6"/>
  </r>
  <r>
    <s v="T1046"/>
    <x v="41"/>
    <s v="Bob"/>
    <s v="Phone"/>
    <x v="0"/>
    <n v="1"/>
    <n v="50000"/>
    <x v="22"/>
    <x v="0"/>
    <x v="1"/>
  </r>
  <r>
    <s v="T1047"/>
    <x v="42"/>
    <s v="Charles"/>
    <s v="Keyboard"/>
    <x v="1"/>
    <n v="4"/>
    <n v="20000"/>
    <x v="19"/>
    <x v="2"/>
    <x v="5"/>
  </r>
  <r>
    <s v="T1048"/>
    <x v="43"/>
    <s v="Hannah"/>
    <s v="Mouse"/>
    <x v="1"/>
    <n v="2"/>
    <n v="75000"/>
    <x v="4"/>
    <x v="3"/>
    <x v="0"/>
  </r>
  <r>
    <s v="T1049"/>
    <x v="44"/>
    <s v="Fiona"/>
    <s v="Mouse"/>
    <x v="1"/>
    <n v="8"/>
    <n v="15000"/>
    <x v="11"/>
    <x v="1"/>
    <x v="5"/>
  </r>
  <r>
    <s v="T1050"/>
    <x v="45"/>
    <s v="Fiona"/>
    <s v="Mouse"/>
    <x v="1"/>
    <n v="4"/>
    <n v="25000"/>
    <x v="10"/>
    <x v="3"/>
    <x v="4"/>
  </r>
  <r>
    <s v="T1051"/>
    <x v="46"/>
    <s v="Bob"/>
    <s v="Tablet"/>
    <x v="0"/>
    <n v="2"/>
    <n v="100000"/>
    <x v="8"/>
    <x v="2"/>
    <x v="7"/>
  </r>
  <r>
    <s v="T1052"/>
    <x v="47"/>
    <s v="Charles"/>
    <s v="Mouse"/>
    <x v="1"/>
    <n v="6"/>
    <n v="25000"/>
    <x v="4"/>
    <x v="3"/>
    <x v="0"/>
  </r>
  <r>
    <s v="T1053"/>
    <x v="48"/>
    <s v="Hannah"/>
    <s v="Tablet"/>
    <x v="0"/>
    <n v="6"/>
    <n v="100000"/>
    <x v="9"/>
    <x v="1"/>
    <x v="0"/>
  </r>
  <r>
    <s v="T1054"/>
    <x v="49"/>
    <s v="George"/>
    <s v="Phone"/>
    <x v="0"/>
    <n v="4"/>
    <n v="25000"/>
    <x v="10"/>
    <x v="0"/>
    <x v="2"/>
  </r>
  <r>
    <s v="T1055"/>
    <x v="50"/>
    <s v="Emeka"/>
    <s v="Tablet"/>
    <x v="0"/>
    <n v="6"/>
    <n v="20000"/>
    <x v="11"/>
    <x v="1"/>
    <x v="4"/>
  </r>
  <r>
    <s v="T1056"/>
    <x v="51"/>
    <s v="Hannah"/>
    <s v="Headphones"/>
    <x v="1"/>
    <n v="2"/>
    <n v="15000"/>
    <x v="24"/>
    <x v="2"/>
    <x v="3"/>
  </r>
  <r>
    <s v="T1057"/>
    <x v="52"/>
    <s v="Charles"/>
    <s v="Printer"/>
    <x v="1"/>
    <n v="2"/>
    <n v="100000"/>
    <x v="8"/>
    <x v="1"/>
    <x v="0"/>
  </r>
  <r>
    <s v="T1058"/>
    <x v="24"/>
    <s v="Debby"/>
    <s v="Mouse"/>
    <x v="1"/>
    <n v="4"/>
    <n v="75000"/>
    <x v="1"/>
    <x v="2"/>
    <x v="6"/>
  </r>
  <r>
    <s v="T1059"/>
    <x v="53"/>
    <s v="Fiona"/>
    <s v="Keyboard"/>
    <x v="1"/>
    <n v="8"/>
    <n v="25000"/>
    <x v="8"/>
    <x v="2"/>
    <x v="4"/>
  </r>
  <r>
    <s v="T1060"/>
    <x v="54"/>
    <s v="Fiona"/>
    <s v="Keyboard"/>
    <x v="1"/>
    <n v="7"/>
    <n v="25000"/>
    <x v="0"/>
    <x v="0"/>
    <x v="1"/>
  </r>
  <r>
    <s v="T1061"/>
    <x v="55"/>
    <s v="Emeka"/>
    <s v="Keyboard"/>
    <x v="1"/>
    <n v="9"/>
    <n v="100000"/>
    <x v="17"/>
    <x v="3"/>
    <x v="5"/>
  </r>
  <r>
    <s v="T1062"/>
    <x v="56"/>
    <s v="Bob"/>
    <s v="Tablet"/>
    <x v="0"/>
    <n v="8"/>
    <n v="75000"/>
    <x v="9"/>
    <x v="3"/>
    <x v="0"/>
  </r>
  <r>
    <s v="T1063"/>
    <x v="57"/>
    <s v="Fiona"/>
    <s v="Headphones"/>
    <x v="1"/>
    <n v="5"/>
    <n v="75000"/>
    <x v="7"/>
    <x v="0"/>
    <x v="0"/>
  </r>
  <r>
    <s v="T1064"/>
    <x v="58"/>
    <s v="George"/>
    <s v="Headphones"/>
    <x v="1"/>
    <n v="2"/>
    <n v="20000"/>
    <x v="21"/>
    <x v="3"/>
    <x v="5"/>
  </r>
  <r>
    <s v="T1065"/>
    <x v="59"/>
    <s v="Fiona"/>
    <s v="Phone"/>
    <x v="0"/>
    <n v="5"/>
    <n v="20000"/>
    <x v="10"/>
    <x v="1"/>
    <x v="2"/>
  </r>
  <r>
    <s v="T1066"/>
    <x v="60"/>
    <s v="Fiona"/>
    <s v="Printer"/>
    <x v="1"/>
    <n v="8"/>
    <n v="20000"/>
    <x v="25"/>
    <x v="1"/>
    <x v="6"/>
  </r>
  <r>
    <s v="T1159"/>
    <x v="61"/>
    <s v="Emeka"/>
    <s v="Keyboard"/>
    <x v="1"/>
    <n v="9"/>
    <n v="20000"/>
    <x v="26"/>
    <x v="0"/>
    <x v="0"/>
  </r>
  <r>
    <s v="T1068"/>
    <x v="62"/>
    <s v="Fiona"/>
    <s v="Headphones"/>
    <x v="1"/>
    <n v="9"/>
    <n v="20000"/>
    <x v="26"/>
    <x v="3"/>
    <x v="6"/>
  </r>
  <r>
    <s v="T1069"/>
    <x v="63"/>
    <s v="Hannah"/>
    <s v="Headphones"/>
    <x v="1"/>
    <n v="1"/>
    <n v="20000"/>
    <x v="27"/>
    <x v="0"/>
    <x v="1"/>
  </r>
  <r>
    <s v="T1070"/>
    <x v="64"/>
    <s v="Emeka"/>
    <s v="Printer"/>
    <x v="1"/>
    <n v="9"/>
    <n v="15000"/>
    <x v="28"/>
    <x v="1"/>
    <x v="6"/>
  </r>
  <r>
    <s v="T1071"/>
    <x v="65"/>
    <s v="George"/>
    <s v="Laptop"/>
    <x v="0"/>
    <n v="7"/>
    <n v="75000"/>
    <x v="16"/>
    <x v="0"/>
    <x v="1"/>
  </r>
  <r>
    <s v="T1072"/>
    <x v="66"/>
    <s v="Bob"/>
    <s v="Headphones"/>
    <x v="1"/>
    <n v="9"/>
    <n v="20000"/>
    <x v="26"/>
    <x v="2"/>
    <x v="3"/>
  </r>
  <r>
    <s v="T1073"/>
    <x v="67"/>
    <s v="Alice"/>
    <s v="Camera"/>
    <x v="1"/>
    <n v="8"/>
    <n v="75000"/>
    <x v="9"/>
    <x v="2"/>
    <x v="7"/>
  </r>
  <r>
    <s v="T1074"/>
    <x v="66"/>
    <s v="Alice"/>
    <s v="Printer"/>
    <x v="1"/>
    <n v="1"/>
    <n v="75000"/>
    <x v="12"/>
    <x v="2"/>
    <x v="2"/>
  </r>
  <r>
    <s v="T1075"/>
    <x v="68"/>
    <s v="Fiona"/>
    <s v="Headphones"/>
    <x v="1"/>
    <n v="8"/>
    <n v="50000"/>
    <x v="6"/>
    <x v="3"/>
    <x v="6"/>
  </r>
  <r>
    <s v="T1076"/>
    <x v="69"/>
    <s v="Debby"/>
    <s v="Tablet"/>
    <x v="0"/>
    <n v="8"/>
    <n v="15000"/>
    <x v="11"/>
    <x v="3"/>
    <x v="2"/>
  </r>
  <r>
    <s v="T1077"/>
    <x v="70"/>
    <s v="Alice"/>
    <s v="Headphones"/>
    <x v="1"/>
    <n v="3"/>
    <n v="20000"/>
    <x v="18"/>
    <x v="1"/>
    <x v="0"/>
  </r>
  <r>
    <s v="T1078"/>
    <x v="61"/>
    <s v="Hannah"/>
    <s v="Printer"/>
    <x v="1"/>
    <n v="1"/>
    <n v="25000"/>
    <x v="29"/>
    <x v="0"/>
    <x v="5"/>
  </r>
  <r>
    <s v="T1080"/>
    <x v="71"/>
    <s v="Alice"/>
    <s v="Camera"/>
    <x v="1"/>
    <n v="3"/>
    <n v="25000"/>
    <x v="12"/>
    <x v="1"/>
    <x v="3"/>
  </r>
  <r>
    <s v="T1081"/>
    <x v="72"/>
    <s v="Alice"/>
    <s v="Keyboard"/>
    <x v="1"/>
    <n v="3"/>
    <n v="15000"/>
    <x v="30"/>
    <x v="2"/>
    <x v="7"/>
  </r>
  <r>
    <s v="T1082"/>
    <x v="73"/>
    <s v="Alice"/>
    <s v="Camera"/>
    <x v="1"/>
    <n v="1"/>
    <n v="100000"/>
    <x v="10"/>
    <x v="1"/>
    <x v="5"/>
  </r>
  <r>
    <s v="T1083"/>
    <x v="74"/>
    <s v="George"/>
    <s v="Camera"/>
    <x v="1"/>
    <n v="5"/>
    <n v="15000"/>
    <x v="12"/>
    <x v="0"/>
    <x v="5"/>
  </r>
  <r>
    <s v="T1084"/>
    <x v="75"/>
    <s v="Debby"/>
    <s v="Keyboard"/>
    <x v="1"/>
    <n v="7"/>
    <n v="75000"/>
    <x v="16"/>
    <x v="0"/>
    <x v="5"/>
  </r>
  <r>
    <s v="T1085"/>
    <x v="51"/>
    <s v="Alice"/>
    <s v="Phone"/>
    <x v="0"/>
    <n v="9"/>
    <n v="100000"/>
    <x v="17"/>
    <x v="2"/>
    <x v="3"/>
  </r>
  <r>
    <s v="T1086"/>
    <x v="76"/>
    <s v="George"/>
    <s v="Laptop"/>
    <x v="0"/>
    <n v="7"/>
    <n v="75000"/>
    <x v="16"/>
    <x v="2"/>
    <x v="0"/>
  </r>
  <r>
    <s v="T1088"/>
    <x v="77"/>
    <s v="Fiona"/>
    <s v="Phone"/>
    <x v="0"/>
    <n v="8"/>
    <n v="25000"/>
    <x v="8"/>
    <x v="0"/>
    <x v="4"/>
  </r>
  <r>
    <s v="T1089"/>
    <x v="17"/>
    <s v="George"/>
    <s v="Tablet"/>
    <x v="0"/>
    <n v="2"/>
    <n v="100000"/>
    <x v="8"/>
    <x v="3"/>
    <x v="6"/>
  </r>
  <r>
    <s v="T1090"/>
    <x v="74"/>
    <s v="Fiona"/>
    <s v="Headphones"/>
    <x v="1"/>
    <n v="1"/>
    <n v="100000"/>
    <x v="10"/>
    <x v="3"/>
    <x v="3"/>
  </r>
  <r>
    <s v="T1091"/>
    <x v="78"/>
    <s v="George"/>
    <s v="Keyboard"/>
    <x v="1"/>
    <n v="7"/>
    <n v="20000"/>
    <x v="5"/>
    <x v="3"/>
    <x v="5"/>
  </r>
  <r>
    <s v="T1092"/>
    <x v="79"/>
    <s v="Bob"/>
    <s v="Camera"/>
    <x v="1"/>
    <n v="7"/>
    <n v="15000"/>
    <x v="31"/>
    <x v="2"/>
    <x v="7"/>
  </r>
  <r>
    <s v="T1094"/>
    <x v="80"/>
    <s v="Hannah"/>
    <s v="Phone"/>
    <x v="0"/>
    <n v="5"/>
    <n v="15000"/>
    <x v="12"/>
    <x v="1"/>
    <x v="5"/>
  </r>
  <r>
    <s v="T1095"/>
    <x v="81"/>
    <s v="Emeka"/>
    <s v="Tablet"/>
    <x v="0"/>
    <n v="3"/>
    <n v="20000"/>
    <x v="18"/>
    <x v="3"/>
    <x v="4"/>
  </r>
  <r>
    <s v="T1096"/>
    <x v="82"/>
    <s v="Charles"/>
    <s v="Phone"/>
    <x v="0"/>
    <n v="8"/>
    <n v="75000"/>
    <x v="9"/>
    <x v="2"/>
    <x v="6"/>
  </r>
  <r>
    <s v="T1097"/>
    <x v="83"/>
    <s v="Alice"/>
    <s v="Keyboard"/>
    <x v="1"/>
    <n v="6"/>
    <n v="100000"/>
    <x v="9"/>
    <x v="0"/>
    <x v="1"/>
  </r>
  <r>
    <s v="T1098"/>
    <x v="84"/>
    <s v="Emeka"/>
    <s v="Camera"/>
    <x v="1"/>
    <n v="3"/>
    <n v="25000"/>
    <x v="12"/>
    <x v="3"/>
    <x v="0"/>
  </r>
  <r>
    <s v="T1100"/>
    <x v="85"/>
    <s v="George"/>
    <s v="Printer"/>
    <x v="1"/>
    <n v="3"/>
    <n v="15000"/>
    <x v="30"/>
    <x v="3"/>
    <x v="0"/>
  </r>
  <r>
    <s v="T1101"/>
    <x v="86"/>
    <s v="Debby"/>
    <s v="Phone"/>
    <x v="0"/>
    <n v="5"/>
    <n v="25000"/>
    <x v="3"/>
    <x v="1"/>
    <x v="5"/>
  </r>
  <r>
    <s v="T1103"/>
    <x v="87"/>
    <s v="Hannah"/>
    <s v="Laptop"/>
    <x v="0"/>
    <n v="1"/>
    <n v="15000"/>
    <x v="13"/>
    <x v="2"/>
    <x v="2"/>
  </r>
  <r>
    <s v="T1104"/>
    <x v="9"/>
    <s v="Hannah"/>
    <s v="Mouse"/>
    <x v="1"/>
    <n v="5"/>
    <n v="75000"/>
    <x v="7"/>
    <x v="1"/>
    <x v="5"/>
  </r>
  <r>
    <s v="T1105"/>
    <x v="20"/>
    <s v="Debby"/>
    <s v="Phone"/>
    <x v="0"/>
    <n v="7"/>
    <n v="100000"/>
    <x v="32"/>
    <x v="0"/>
    <x v="7"/>
  </r>
  <r>
    <s v="T1106"/>
    <x v="1"/>
    <s v="Debby"/>
    <s v="Headphones"/>
    <x v="1"/>
    <n v="7"/>
    <n v="25000"/>
    <x v="0"/>
    <x v="0"/>
    <x v="2"/>
  </r>
  <r>
    <s v="T1107"/>
    <x v="88"/>
    <s v="Charles"/>
    <s v="Printer"/>
    <x v="1"/>
    <n v="9"/>
    <n v="100000"/>
    <x v="17"/>
    <x v="0"/>
    <x v="3"/>
  </r>
  <r>
    <s v="T1108"/>
    <x v="89"/>
    <s v="Charles"/>
    <s v="Phone"/>
    <x v="0"/>
    <n v="3"/>
    <n v="15000"/>
    <x v="30"/>
    <x v="2"/>
    <x v="2"/>
  </r>
  <r>
    <s v="T1109"/>
    <x v="90"/>
    <s v="Debby"/>
    <s v="Printer"/>
    <x v="1"/>
    <n v="7"/>
    <n v="15000"/>
    <x v="31"/>
    <x v="1"/>
    <x v="7"/>
  </r>
  <r>
    <s v="T1110"/>
    <x v="91"/>
    <s v="George"/>
    <s v="Tablet"/>
    <x v="0"/>
    <n v="1"/>
    <n v="25000"/>
    <x v="29"/>
    <x v="0"/>
    <x v="4"/>
  </r>
  <r>
    <s v="T1111"/>
    <x v="92"/>
    <s v="Charles"/>
    <s v="Laptop"/>
    <x v="0"/>
    <n v="4"/>
    <n v="75000"/>
    <x v="1"/>
    <x v="2"/>
    <x v="3"/>
  </r>
  <r>
    <s v="T1112"/>
    <x v="93"/>
    <s v="Fiona"/>
    <s v="Laptop"/>
    <x v="0"/>
    <n v="4"/>
    <n v="50000"/>
    <x v="8"/>
    <x v="0"/>
    <x v="6"/>
  </r>
  <r>
    <s v="T1113"/>
    <x v="94"/>
    <s v="Bob"/>
    <s v="Camera"/>
    <x v="1"/>
    <n v="5"/>
    <n v="25000"/>
    <x v="3"/>
    <x v="3"/>
    <x v="4"/>
  </r>
  <r>
    <s v="T1114"/>
    <x v="95"/>
    <s v="Hannah"/>
    <s v="Laptop"/>
    <x v="0"/>
    <n v="7"/>
    <n v="50000"/>
    <x v="23"/>
    <x v="3"/>
    <x v="0"/>
  </r>
  <r>
    <s v="T1115"/>
    <x v="96"/>
    <s v="Alice"/>
    <s v="Printer"/>
    <x v="1"/>
    <n v="7"/>
    <n v="20000"/>
    <x v="5"/>
    <x v="1"/>
    <x v="1"/>
  </r>
  <r>
    <s v="T1116"/>
    <x v="97"/>
    <s v="Emeka"/>
    <s v="Mouse"/>
    <x v="1"/>
    <n v="4"/>
    <n v="50000"/>
    <x v="8"/>
    <x v="0"/>
    <x v="3"/>
  </r>
  <r>
    <s v="T1117"/>
    <x v="98"/>
    <s v="Fiona"/>
    <s v="Headphones"/>
    <x v="1"/>
    <n v="7"/>
    <n v="75000"/>
    <x v="16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20AB46-C740-4B42-A440-3B12DFC219E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2">
  <location ref="A25:B31" firstHeaderRow="1" firstDataRow="1" firstDataCol="1"/>
  <pivotFields count="12">
    <pivotField compact="0" outline="0" showAll="0"/>
    <pivotField compact="0" outline="0" showAll="0">
      <items count="100">
        <item x="95"/>
        <item x="34"/>
        <item x="53"/>
        <item x="11"/>
        <item x="80"/>
        <item x="85"/>
        <item x="26"/>
        <item x="70"/>
        <item x="31"/>
        <item x="30"/>
        <item x="21"/>
        <item x="19"/>
        <item x="16"/>
        <item x="66"/>
        <item x="14"/>
        <item x="72"/>
        <item x="3"/>
        <item x="81"/>
        <item x="87"/>
        <item x="65"/>
        <item x="73"/>
        <item x="83"/>
        <item x="38"/>
        <item x="39"/>
        <item x="5"/>
        <item x="68"/>
        <item x="88"/>
        <item x="78"/>
        <item x="22"/>
        <item x="97"/>
        <item x="33"/>
        <item x="82"/>
        <item x="1"/>
        <item x="94"/>
        <item x="86"/>
        <item x="90"/>
        <item x="58"/>
        <item x="74"/>
        <item x="9"/>
        <item x="77"/>
        <item x="76"/>
        <item x="47"/>
        <item x="92"/>
        <item x="40"/>
        <item x="12"/>
        <item x="18"/>
        <item x="98"/>
        <item x="62"/>
        <item x="36"/>
        <item x="89"/>
        <item x="67"/>
        <item x="61"/>
        <item x="27"/>
        <item x="25"/>
        <item x="28"/>
        <item x="8"/>
        <item x="69"/>
        <item x="49"/>
        <item x="75"/>
        <item x="6"/>
        <item x="71"/>
        <item x="17"/>
        <item x="96"/>
        <item x="64"/>
        <item x="93"/>
        <item x="54"/>
        <item x="48"/>
        <item x="23"/>
        <item x="43"/>
        <item x="20"/>
        <item x="15"/>
        <item x="24"/>
        <item x="42"/>
        <item x="84"/>
        <item x="45"/>
        <item x="55"/>
        <item x="7"/>
        <item x="91"/>
        <item x="2"/>
        <item x="63"/>
        <item x="79"/>
        <item x="59"/>
        <item x="51"/>
        <item x="50"/>
        <item x="32"/>
        <item x="4"/>
        <item x="41"/>
        <item x="0"/>
        <item x="57"/>
        <item x="37"/>
        <item x="52"/>
        <item x="29"/>
        <item x="60"/>
        <item x="46"/>
        <item x="44"/>
        <item x="56"/>
        <item x="13"/>
        <item x="10"/>
        <item x="3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 measureFilter="1" sortType="ascending">
      <items count="9">
        <item x="0"/>
        <item x="1"/>
        <item x="3"/>
        <item x="5"/>
        <item x="4"/>
        <item x="6"/>
        <item x="7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1">
    <field x="9"/>
  </rowFields>
  <rowItems count="6">
    <i>
      <x v="3"/>
    </i>
    <i>
      <x v="7"/>
    </i>
    <i>
      <x v="2"/>
    </i>
    <i>
      <x v="5"/>
    </i>
    <i>
      <x/>
    </i>
    <i t="grand">
      <x/>
    </i>
  </rowItems>
  <colItems count="1">
    <i/>
  </colItems>
  <dataFields count="1">
    <dataField name="Sum of Total_sales" fld="7" baseField="0" baseItem="0" numFmtId="164"/>
  </dataFields>
  <formats count="1">
    <format dxfId="0">
      <pivotArea outline="0" collapsedLevelsAreSubtotals="1" fieldPosition="0"/>
    </format>
  </formats>
  <chartFormats count="6">
    <chartFormat chart="2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1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21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1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21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53995E-CC13-44FB-B68E-D0DF76809EB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4">
  <location ref="A34:D48" firstHeaderRow="1" firstDataRow="2" firstDataCol="1"/>
  <pivotFields count="12">
    <pivotField showAll="0"/>
    <pivotField showAll="0">
      <items count="100">
        <item x="95"/>
        <item x="34"/>
        <item x="53"/>
        <item x="11"/>
        <item x="80"/>
        <item x="85"/>
        <item x="26"/>
        <item x="70"/>
        <item x="31"/>
        <item x="30"/>
        <item x="21"/>
        <item x="19"/>
        <item x="16"/>
        <item x="66"/>
        <item x="14"/>
        <item x="72"/>
        <item x="3"/>
        <item x="81"/>
        <item x="87"/>
        <item x="65"/>
        <item x="73"/>
        <item x="83"/>
        <item x="38"/>
        <item x="39"/>
        <item x="5"/>
        <item x="68"/>
        <item x="88"/>
        <item x="78"/>
        <item x="22"/>
        <item x="97"/>
        <item x="33"/>
        <item x="82"/>
        <item x="1"/>
        <item x="94"/>
        <item x="86"/>
        <item x="90"/>
        <item x="58"/>
        <item x="74"/>
        <item x="9"/>
        <item x="77"/>
        <item x="76"/>
        <item x="47"/>
        <item x="92"/>
        <item x="40"/>
        <item x="12"/>
        <item x="18"/>
        <item x="98"/>
        <item x="62"/>
        <item x="36"/>
        <item x="89"/>
        <item x="67"/>
        <item x="61"/>
        <item x="27"/>
        <item x="25"/>
        <item x="28"/>
        <item x="8"/>
        <item x="69"/>
        <item x="49"/>
        <item x="75"/>
        <item x="6"/>
        <item x="71"/>
        <item x="17"/>
        <item x="96"/>
        <item x="64"/>
        <item x="93"/>
        <item x="54"/>
        <item x="48"/>
        <item x="23"/>
        <item x="43"/>
        <item x="20"/>
        <item x="15"/>
        <item x="24"/>
        <item x="42"/>
        <item x="84"/>
        <item x="45"/>
        <item x="55"/>
        <item x="7"/>
        <item x="91"/>
        <item x="2"/>
        <item x="63"/>
        <item x="79"/>
        <item x="59"/>
        <item x="51"/>
        <item x="50"/>
        <item x="32"/>
        <item x="4"/>
        <item x="41"/>
        <item x="0"/>
        <item x="57"/>
        <item x="37"/>
        <item x="52"/>
        <item x="29"/>
        <item x="60"/>
        <item x="46"/>
        <item x="44"/>
        <item x="56"/>
        <item x="13"/>
        <item x="10"/>
        <item x="3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5">
        <item h="1" x="0"/>
        <item x="1"/>
        <item x="2"/>
        <item h="1" x="3"/>
        <item t="default"/>
      </items>
    </pivotField>
  </pivotFields>
  <rowFields count="1">
    <field x="1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1"/>
  </colFields>
  <colItems count="3">
    <i>
      <x v="1"/>
    </i>
    <i>
      <x v="2"/>
    </i>
    <i t="grand">
      <x/>
    </i>
  </colItems>
  <dataFields count="1">
    <dataField name="Sum of Total_sales" fld="7" baseField="0" baseItem="0" numFmtId="164"/>
  </dataFields>
  <formats count="1">
    <format dxfId="1">
      <pivotArea outline="0" collapsedLevelsAreSubtotals="1" fieldPosition="0"/>
    </format>
  </formats>
  <chartFormats count="6">
    <chartFormat chart="28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8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1" format="1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1" format="1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41" format="1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1" format="1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D4D1A3-CC0E-4736-BEC8-CEDB3A42789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8" firstHeaderRow="1" firstDataRow="1" firstDataCol="1"/>
  <pivotFields count="12">
    <pivotField compact="0" outline="0" showAll="0"/>
    <pivotField compact="0" outline="0" showAll="0">
      <items count="100">
        <item x="95"/>
        <item x="34"/>
        <item x="53"/>
        <item x="11"/>
        <item x="80"/>
        <item x="85"/>
        <item x="26"/>
        <item x="70"/>
        <item x="31"/>
        <item x="30"/>
        <item x="21"/>
        <item x="19"/>
        <item x="16"/>
        <item x="66"/>
        <item x="14"/>
        <item x="72"/>
        <item x="3"/>
        <item x="81"/>
        <item x="87"/>
        <item x="65"/>
        <item x="73"/>
        <item x="83"/>
        <item x="38"/>
        <item x="39"/>
        <item x="5"/>
        <item x="68"/>
        <item x="88"/>
        <item x="78"/>
        <item x="22"/>
        <item x="97"/>
        <item x="33"/>
        <item x="82"/>
        <item x="1"/>
        <item x="94"/>
        <item x="86"/>
        <item x="90"/>
        <item x="58"/>
        <item x="74"/>
        <item x="9"/>
        <item x="77"/>
        <item x="76"/>
        <item x="47"/>
        <item x="92"/>
        <item x="40"/>
        <item x="12"/>
        <item x="18"/>
        <item x="98"/>
        <item x="62"/>
        <item x="36"/>
        <item x="89"/>
        <item x="67"/>
        <item x="61"/>
        <item x="27"/>
        <item x="25"/>
        <item x="28"/>
        <item x="8"/>
        <item x="69"/>
        <item x="49"/>
        <item x="75"/>
        <item x="6"/>
        <item x="71"/>
        <item x="17"/>
        <item x="96"/>
        <item x="64"/>
        <item x="93"/>
        <item x="54"/>
        <item x="48"/>
        <item x="23"/>
        <item x="43"/>
        <item x="20"/>
        <item x="15"/>
        <item x="24"/>
        <item x="42"/>
        <item x="84"/>
        <item x="45"/>
        <item x="55"/>
        <item x="7"/>
        <item x="91"/>
        <item x="2"/>
        <item x="63"/>
        <item x="79"/>
        <item x="59"/>
        <item x="51"/>
        <item x="50"/>
        <item x="32"/>
        <item x="4"/>
        <item x="41"/>
        <item x="0"/>
        <item x="57"/>
        <item x="37"/>
        <item x="52"/>
        <item x="29"/>
        <item x="60"/>
        <item x="46"/>
        <item x="44"/>
        <item x="56"/>
        <item x="13"/>
        <item x="10"/>
        <item x="3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 sortType="descending">
      <items count="5">
        <item x="1"/>
        <item sd="0" x="0"/>
        <item sd="0" x="3"/>
        <item sd="0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1">
    <field x="8"/>
  </rowFields>
  <rowItems count="5">
    <i>
      <x v="1"/>
    </i>
    <i>
      <x v="3"/>
    </i>
    <i>
      <x v="2"/>
    </i>
    <i>
      <x/>
    </i>
    <i t="grand">
      <x/>
    </i>
  </rowItems>
  <colItems count="1">
    <i/>
  </colItems>
  <dataFields count="1">
    <dataField name="Sum of Total_sales" fld="7" baseField="0" baseItem="0"/>
  </dataFields>
  <conditionalFormats count="1"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8" count="4" selected="0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DBE1EC-1659-4B59-8635-0746D529FE1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4:B57" firstHeaderRow="1" firstDataRow="1" firstDataCol="1"/>
  <pivotFields count="12">
    <pivotField showAll="0"/>
    <pivotField numFmtId="14" showAll="0">
      <items count="100">
        <item x="95"/>
        <item x="34"/>
        <item x="53"/>
        <item x="11"/>
        <item x="80"/>
        <item x="85"/>
        <item x="26"/>
        <item x="70"/>
        <item x="31"/>
        <item x="30"/>
        <item x="21"/>
        <item x="19"/>
        <item x="16"/>
        <item x="66"/>
        <item x="14"/>
        <item x="72"/>
        <item x="3"/>
        <item x="81"/>
        <item x="87"/>
        <item x="65"/>
        <item x="73"/>
        <item x="83"/>
        <item x="38"/>
        <item x="39"/>
        <item x="5"/>
        <item x="68"/>
        <item x="88"/>
        <item x="78"/>
        <item x="22"/>
        <item x="97"/>
        <item x="33"/>
        <item x="82"/>
        <item x="1"/>
        <item x="94"/>
        <item x="86"/>
        <item x="90"/>
        <item x="58"/>
        <item x="74"/>
        <item x="9"/>
        <item x="77"/>
        <item x="76"/>
        <item x="47"/>
        <item x="92"/>
        <item x="40"/>
        <item x="12"/>
        <item x="18"/>
        <item x="98"/>
        <item x="62"/>
        <item x="36"/>
        <item x="89"/>
        <item x="67"/>
        <item x="61"/>
        <item x="27"/>
        <item x="25"/>
        <item x="28"/>
        <item x="8"/>
        <item x="69"/>
        <item x="49"/>
        <item x="75"/>
        <item x="6"/>
        <item x="71"/>
        <item x="17"/>
        <item x="96"/>
        <item x="64"/>
        <item x="93"/>
        <item x="54"/>
        <item x="48"/>
        <item x="23"/>
        <item x="43"/>
        <item x="20"/>
        <item x="15"/>
        <item x="24"/>
        <item x="42"/>
        <item x="84"/>
        <item x="45"/>
        <item x="55"/>
        <item x="7"/>
        <item x="91"/>
        <item x="2"/>
        <item x="63"/>
        <item x="79"/>
        <item x="59"/>
        <item x="51"/>
        <item x="50"/>
        <item x="32"/>
        <item x="4"/>
        <item x="41"/>
        <item x="0"/>
        <item x="57"/>
        <item x="37"/>
        <item x="52"/>
        <item x="29"/>
        <item x="60"/>
        <item x="46"/>
        <item x="44"/>
        <item x="56"/>
        <item x="13"/>
        <item x="10"/>
        <item x="35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dataField="1" showAll="0"/>
    <pivotField showAll="0"/>
    <pivotField showAll="0"/>
    <pivotField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Average of Quantity" fld="5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E0DC1A-E95E-447B-A23F-EE85A6EC155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A11:C22" firstHeaderRow="1" firstDataRow="1" firstDataCol="2"/>
  <pivotFields count="12">
    <pivotField compact="0" outline="0" showAll="0"/>
    <pivotField compact="0" outline="0" showAll="0">
      <items count="100">
        <item x="95"/>
        <item x="34"/>
        <item x="53"/>
        <item x="11"/>
        <item x="80"/>
        <item x="85"/>
        <item x="26"/>
        <item x="70"/>
        <item x="31"/>
        <item x="30"/>
        <item x="21"/>
        <item x="19"/>
        <item x="16"/>
        <item x="66"/>
        <item x="14"/>
        <item x="72"/>
        <item x="3"/>
        <item x="81"/>
        <item x="87"/>
        <item x="65"/>
        <item x="73"/>
        <item x="83"/>
        <item x="38"/>
        <item x="39"/>
        <item x="5"/>
        <item x="68"/>
        <item x="88"/>
        <item x="78"/>
        <item x="22"/>
        <item x="97"/>
        <item x="33"/>
        <item x="82"/>
        <item x="1"/>
        <item x="94"/>
        <item x="86"/>
        <item x="90"/>
        <item x="58"/>
        <item x="74"/>
        <item x="9"/>
        <item x="77"/>
        <item x="76"/>
        <item x="47"/>
        <item x="92"/>
        <item x="40"/>
        <item x="12"/>
        <item x="18"/>
        <item x="98"/>
        <item x="62"/>
        <item x="36"/>
        <item x="89"/>
        <item x="67"/>
        <item x="61"/>
        <item x="27"/>
        <item x="25"/>
        <item x="28"/>
        <item x="8"/>
        <item x="69"/>
        <item x="49"/>
        <item x="75"/>
        <item x="6"/>
        <item x="71"/>
        <item x="17"/>
        <item x="96"/>
        <item x="64"/>
        <item x="93"/>
        <item x="54"/>
        <item x="48"/>
        <item x="23"/>
        <item x="43"/>
        <item x="20"/>
        <item x="15"/>
        <item x="24"/>
        <item x="42"/>
        <item x="84"/>
        <item x="45"/>
        <item x="55"/>
        <item x="7"/>
        <item x="91"/>
        <item x="2"/>
        <item x="63"/>
        <item x="79"/>
        <item x="59"/>
        <item x="51"/>
        <item x="50"/>
        <item x="32"/>
        <item x="4"/>
        <item x="41"/>
        <item x="0"/>
        <item x="57"/>
        <item x="37"/>
        <item x="52"/>
        <item x="29"/>
        <item x="60"/>
        <item x="46"/>
        <item x="44"/>
        <item x="56"/>
        <item x="13"/>
        <item x="10"/>
        <item x="35"/>
        <item t="default"/>
      </items>
    </pivotField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dataField="1" compact="0" outline="0" showAll="0"/>
    <pivotField axis="axisRow" compact="0" outline="0" showAll="0">
      <items count="5">
        <item x="1"/>
        <item x="0"/>
        <item x="3"/>
        <item x="2"/>
        <item t="default"/>
      </items>
    </pivotField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2">
    <field x="4"/>
    <field x="8"/>
  </rowFields>
  <rowItems count="1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rowItems>
  <colItems count="1">
    <i/>
  </colItems>
  <dataFields count="1">
    <dataField name="Sum of Total_sales" fld="7" baseField="0" baseItem="0"/>
  </dataFields>
  <chartFormats count="1"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3"/>
  <sheetViews>
    <sheetView tabSelected="1" workbookViewId="0">
      <selection activeCell="B10" sqref="B10"/>
    </sheetView>
  </sheetViews>
  <sheetFormatPr defaultRowHeight="15" customHeight="1" x14ac:dyDescent="0.35"/>
  <cols>
    <col min="1" max="1" width="14.81640625" customWidth="1"/>
    <col min="2" max="2" width="19" style="3" customWidth="1"/>
    <col min="3" max="3" width="16.26953125" customWidth="1"/>
    <col min="4" max="4" width="14.54296875" customWidth="1"/>
    <col min="5" max="5" width="14" customWidth="1"/>
    <col min="6" max="6" width="13.7265625" customWidth="1"/>
    <col min="7" max="7" width="12.81640625" customWidth="1"/>
    <col min="8" max="9" width="12.26953125" customWidth="1"/>
    <col min="10" max="10" width="12.54296875" customWidth="1"/>
    <col min="11" max="11" width="13.7265625" customWidth="1"/>
    <col min="12" max="12" width="27.1796875" customWidth="1"/>
  </cols>
  <sheetData>
    <row r="1" spans="1:12" ht="15" customHeight="1" x14ac:dyDescent="0.35">
      <c r="A1" s="2" t="s">
        <v>0</v>
      </c>
      <c r="B1" s="6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171</v>
      </c>
      <c r="J1" s="1" t="s">
        <v>8</v>
      </c>
      <c r="K1" s="1" t="s">
        <v>9</v>
      </c>
    </row>
    <row r="2" spans="1:12" ht="14.5" x14ac:dyDescent="0.35">
      <c r="A2" t="s">
        <v>10</v>
      </c>
      <c r="B2" s="3" t="s">
        <v>172</v>
      </c>
      <c r="C2" t="s">
        <v>11</v>
      </c>
      <c r="D2" t="s">
        <v>12</v>
      </c>
      <c r="E2" t="s">
        <v>13</v>
      </c>
      <c r="F2">
        <v>7</v>
      </c>
      <c r="G2">
        <v>25000</v>
      </c>
      <c r="H2">
        <v>175000</v>
      </c>
      <c r="I2">
        <f>H2*25%</f>
        <v>43750</v>
      </c>
      <c r="J2" t="s">
        <v>14</v>
      </c>
      <c r="K2" t="s">
        <v>15</v>
      </c>
      <c r="L2" s="8"/>
    </row>
    <row r="3" spans="1:12" ht="14.5" x14ac:dyDescent="0.35">
      <c r="A3" t="s">
        <v>16</v>
      </c>
      <c r="B3" s="3" t="s">
        <v>173</v>
      </c>
      <c r="C3" t="s">
        <v>17</v>
      </c>
      <c r="D3" t="s">
        <v>18</v>
      </c>
      <c r="E3" t="s">
        <v>19</v>
      </c>
      <c r="F3">
        <v>4</v>
      </c>
      <c r="G3">
        <v>75000</v>
      </c>
      <c r="H3">
        <v>300000</v>
      </c>
      <c r="I3">
        <f t="shared" ref="I3:I66" si="0">H3*25%</f>
        <v>75000</v>
      </c>
      <c r="J3" t="s">
        <v>14</v>
      </c>
      <c r="K3" t="s">
        <v>20</v>
      </c>
      <c r="L3" s="8"/>
    </row>
    <row r="4" spans="1:12" ht="14.5" x14ac:dyDescent="0.35">
      <c r="A4" t="s">
        <v>21</v>
      </c>
      <c r="B4" s="3" t="s">
        <v>174</v>
      </c>
      <c r="C4" t="s">
        <v>22</v>
      </c>
      <c r="D4" t="s">
        <v>23</v>
      </c>
      <c r="E4" t="s">
        <v>19</v>
      </c>
      <c r="F4">
        <v>8</v>
      </c>
      <c r="G4">
        <v>100000</v>
      </c>
      <c r="H4">
        <v>800000</v>
      </c>
      <c r="I4">
        <f t="shared" si="0"/>
        <v>200000</v>
      </c>
      <c r="J4" t="s">
        <v>14</v>
      </c>
      <c r="K4" t="s">
        <v>24</v>
      </c>
      <c r="L4" s="8"/>
    </row>
    <row r="5" spans="1:12" ht="14.5" x14ac:dyDescent="0.35">
      <c r="A5" t="s">
        <v>25</v>
      </c>
      <c r="B5" s="3" t="s">
        <v>175</v>
      </c>
      <c r="C5" t="s">
        <v>26</v>
      </c>
      <c r="D5" t="s">
        <v>27</v>
      </c>
      <c r="E5" t="s">
        <v>13</v>
      </c>
      <c r="F5">
        <v>5</v>
      </c>
      <c r="G5">
        <v>25000</v>
      </c>
      <c r="H5">
        <v>125000</v>
      </c>
      <c r="I5">
        <f t="shared" si="0"/>
        <v>31250</v>
      </c>
      <c r="J5" t="s">
        <v>28</v>
      </c>
      <c r="K5" t="s">
        <v>29</v>
      </c>
      <c r="L5" s="8"/>
    </row>
    <row r="6" spans="1:12" ht="14.5" x14ac:dyDescent="0.35">
      <c r="A6" t="s">
        <v>30</v>
      </c>
      <c r="B6" s="3" t="s">
        <v>176</v>
      </c>
      <c r="C6" t="s">
        <v>31</v>
      </c>
      <c r="D6" t="s">
        <v>32</v>
      </c>
      <c r="E6" t="s">
        <v>13</v>
      </c>
      <c r="F6">
        <v>7</v>
      </c>
      <c r="G6">
        <v>25000</v>
      </c>
      <c r="H6">
        <v>175000</v>
      </c>
      <c r="I6">
        <f t="shared" si="0"/>
        <v>43750</v>
      </c>
      <c r="J6" t="s">
        <v>33</v>
      </c>
      <c r="K6" t="s">
        <v>15</v>
      </c>
      <c r="L6" s="8"/>
    </row>
    <row r="7" spans="1:12" ht="14.5" x14ac:dyDescent="0.35">
      <c r="A7" t="s">
        <v>34</v>
      </c>
      <c r="B7" s="3" t="s">
        <v>177</v>
      </c>
      <c r="C7" t="s">
        <v>35</v>
      </c>
      <c r="D7" t="s">
        <v>27</v>
      </c>
      <c r="E7" t="s">
        <v>13</v>
      </c>
      <c r="F7">
        <v>3</v>
      </c>
      <c r="G7">
        <v>50000</v>
      </c>
      <c r="H7">
        <v>150000</v>
      </c>
      <c r="I7">
        <f t="shared" si="0"/>
        <v>37500</v>
      </c>
      <c r="J7" t="s">
        <v>14</v>
      </c>
      <c r="K7" t="s">
        <v>36</v>
      </c>
      <c r="L7" s="8"/>
    </row>
    <row r="8" spans="1:12" ht="14.5" x14ac:dyDescent="0.35">
      <c r="A8" t="s">
        <v>37</v>
      </c>
      <c r="B8" s="3" t="s">
        <v>178</v>
      </c>
      <c r="C8" t="s">
        <v>38</v>
      </c>
      <c r="D8" t="s">
        <v>39</v>
      </c>
      <c r="E8" t="s">
        <v>19</v>
      </c>
      <c r="F8">
        <v>7</v>
      </c>
      <c r="G8">
        <v>20000</v>
      </c>
      <c r="H8">
        <v>140000</v>
      </c>
      <c r="I8">
        <f t="shared" si="0"/>
        <v>35000</v>
      </c>
      <c r="J8" t="s">
        <v>14</v>
      </c>
      <c r="K8" t="s">
        <v>40</v>
      </c>
      <c r="L8" s="8"/>
    </row>
    <row r="9" spans="1:12" ht="14.5" x14ac:dyDescent="0.35">
      <c r="A9" t="s">
        <v>41</v>
      </c>
      <c r="B9" s="3" t="s">
        <v>179</v>
      </c>
      <c r="C9" t="s">
        <v>26</v>
      </c>
      <c r="D9" t="s">
        <v>32</v>
      </c>
      <c r="E9" t="s">
        <v>13</v>
      </c>
      <c r="F9">
        <v>8</v>
      </c>
      <c r="G9">
        <v>50000</v>
      </c>
      <c r="H9">
        <v>400000</v>
      </c>
      <c r="I9">
        <f t="shared" si="0"/>
        <v>100000</v>
      </c>
      <c r="J9" t="s">
        <v>42</v>
      </c>
      <c r="K9" t="s">
        <v>43</v>
      </c>
      <c r="L9" s="8"/>
    </row>
    <row r="10" spans="1:12" ht="14.5" x14ac:dyDescent="0.35">
      <c r="A10" t="s">
        <v>44</v>
      </c>
      <c r="B10" s="3" t="s">
        <v>180</v>
      </c>
      <c r="C10" t="s">
        <v>17</v>
      </c>
      <c r="D10" t="s">
        <v>45</v>
      </c>
      <c r="E10" t="s">
        <v>19</v>
      </c>
      <c r="F10">
        <v>5</v>
      </c>
      <c r="G10">
        <v>75000</v>
      </c>
      <c r="H10">
        <v>375000</v>
      </c>
      <c r="I10">
        <f t="shared" si="0"/>
        <v>93750</v>
      </c>
      <c r="J10" t="s">
        <v>28</v>
      </c>
      <c r="K10" t="s">
        <v>24</v>
      </c>
    </row>
    <row r="11" spans="1:12" ht="14.5" x14ac:dyDescent="0.35">
      <c r="A11" t="s">
        <v>46</v>
      </c>
      <c r="B11" s="3" t="s">
        <v>181</v>
      </c>
      <c r="C11" t="s">
        <v>22</v>
      </c>
      <c r="D11" t="s">
        <v>45</v>
      </c>
      <c r="E11" t="s">
        <v>19</v>
      </c>
      <c r="F11">
        <v>4</v>
      </c>
      <c r="G11">
        <v>100000</v>
      </c>
      <c r="H11">
        <v>400000</v>
      </c>
      <c r="I11">
        <f t="shared" si="0"/>
        <v>100000</v>
      </c>
      <c r="J11" t="s">
        <v>33</v>
      </c>
      <c r="K11" t="s">
        <v>40</v>
      </c>
    </row>
    <row r="12" spans="1:12" ht="14.5" x14ac:dyDescent="0.35">
      <c r="A12" t="s">
        <v>47</v>
      </c>
      <c r="B12" s="3" t="s">
        <v>182</v>
      </c>
      <c r="C12" t="s">
        <v>17</v>
      </c>
      <c r="D12" t="s">
        <v>23</v>
      </c>
      <c r="E12" t="s">
        <v>19</v>
      </c>
      <c r="F12">
        <v>8</v>
      </c>
      <c r="G12">
        <v>50000</v>
      </c>
      <c r="H12">
        <v>400000</v>
      </c>
      <c r="I12">
        <f t="shared" si="0"/>
        <v>100000</v>
      </c>
      <c r="J12" t="s">
        <v>33</v>
      </c>
      <c r="K12" t="s">
        <v>24</v>
      </c>
    </row>
    <row r="13" spans="1:12" ht="14.5" x14ac:dyDescent="0.35">
      <c r="A13" t="s">
        <v>48</v>
      </c>
      <c r="B13" s="3" t="s">
        <v>183</v>
      </c>
      <c r="C13" t="s">
        <v>26</v>
      </c>
      <c r="D13" t="s">
        <v>32</v>
      </c>
      <c r="E13" t="s">
        <v>13</v>
      </c>
      <c r="F13">
        <v>8</v>
      </c>
      <c r="G13">
        <v>25000</v>
      </c>
      <c r="H13">
        <v>200000</v>
      </c>
      <c r="I13">
        <f t="shared" si="0"/>
        <v>50000</v>
      </c>
      <c r="J13" t="s">
        <v>33</v>
      </c>
      <c r="K13" t="s">
        <v>20</v>
      </c>
    </row>
    <row r="14" spans="1:12" ht="14.5" x14ac:dyDescent="0.35">
      <c r="A14" t="s">
        <v>49</v>
      </c>
      <c r="B14" s="3" t="s">
        <v>184</v>
      </c>
      <c r="C14" t="s">
        <v>22</v>
      </c>
      <c r="D14" t="s">
        <v>39</v>
      </c>
      <c r="E14" t="s">
        <v>19</v>
      </c>
      <c r="F14">
        <v>3</v>
      </c>
      <c r="G14">
        <v>100000</v>
      </c>
      <c r="H14">
        <v>300000</v>
      </c>
      <c r="I14">
        <f t="shared" si="0"/>
        <v>75000</v>
      </c>
      <c r="J14" t="s">
        <v>28</v>
      </c>
      <c r="K14" t="s">
        <v>24</v>
      </c>
    </row>
    <row r="15" spans="1:12" ht="14.5" x14ac:dyDescent="0.35">
      <c r="A15" t="s">
        <v>50</v>
      </c>
      <c r="B15" s="3" t="s">
        <v>185</v>
      </c>
      <c r="C15" t="s">
        <v>38</v>
      </c>
      <c r="D15" t="s">
        <v>32</v>
      </c>
      <c r="E15" t="s">
        <v>13</v>
      </c>
      <c r="F15">
        <v>6</v>
      </c>
      <c r="G15">
        <v>100000</v>
      </c>
      <c r="H15">
        <v>600000</v>
      </c>
      <c r="I15">
        <f t="shared" si="0"/>
        <v>150000</v>
      </c>
      <c r="J15" t="s">
        <v>42</v>
      </c>
      <c r="K15" t="s">
        <v>24</v>
      </c>
    </row>
    <row r="16" spans="1:12" ht="14.5" x14ac:dyDescent="0.35">
      <c r="A16" t="s">
        <v>51</v>
      </c>
      <c r="B16" s="3" t="s">
        <v>186</v>
      </c>
      <c r="C16" t="s">
        <v>35</v>
      </c>
      <c r="D16" t="s">
        <v>52</v>
      </c>
      <c r="E16" t="s">
        <v>19</v>
      </c>
      <c r="F16">
        <v>5</v>
      </c>
      <c r="G16">
        <v>25000</v>
      </c>
      <c r="H16">
        <v>125000</v>
      </c>
      <c r="I16">
        <f t="shared" si="0"/>
        <v>31250</v>
      </c>
      <c r="J16" t="s">
        <v>14</v>
      </c>
      <c r="K16" t="s">
        <v>15</v>
      </c>
    </row>
    <row r="17" spans="1:11" ht="14.5" x14ac:dyDescent="0.35">
      <c r="A17" t="s">
        <v>53</v>
      </c>
      <c r="B17" s="3" t="s">
        <v>187</v>
      </c>
      <c r="C17" t="s">
        <v>54</v>
      </c>
      <c r="D17" t="s">
        <v>23</v>
      </c>
      <c r="E17" t="s">
        <v>19</v>
      </c>
      <c r="F17">
        <v>2</v>
      </c>
      <c r="G17">
        <v>50000</v>
      </c>
      <c r="H17">
        <v>100000</v>
      </c>
      <c r="I17">
        <f t="shared" si="0"/>
        <v>25000</v>
      </c>
      <c r="J17" t="s">
        <v>33</v>
      </c>
      <c r="K17" t="s">
        <v>29</v>
      </c>
    </row>
    <row r="18" spans="1:11" ht="14.5" x14ac:dyDescent="0.35">
      <c r="A18" t="s">
        <v>55</v>
      </c>
      <c r="B18" s="3" t="s">
        <v>188</v>
      </c>
      <c r="C18" t="s">
        <v>35</v>
      </c>
      <c r="D18" t="s">
        <v>12</v>
      </c>
      <c r="E18" t="s">
        <v>13</v>
      </c>
      <c r="F18">
        <v>8</v>
      </c>
      <c r="G18">
        <v>25000</v>
      </c>
      <c r="H18">
        <v>200000</v>
      </c>
      <c r="I18">
        <f t="shared" si="0"/>
        <v>50000</v>
      </c>
      <c r="J18" t="s">
        <v>14</v>
      </c>
      <c r="K18" t="s">
        <v>24</v>
      </c>
    </row>
    <row r="19" spans="1:11" ht="14.5" x14ac:dyDescent="0.35">
      <c r="A19" t="s">
        <v>56</v>
      </c>
      <c r="B19" s="3" t="s">
        <v>189</v>
      </c>
      <c r="C19" t="s">
        <v>38</v>
      </c>
      <c r="D19" t="s">
        <v>52</v>
      </c>
      <c r="E19" t="s">
        <v>19</v>
      </c>
      <c r="F19">
        <v>6</v>
      </c>
      <c r="G19">
        <v>20000</v>
      </c>
      <c r="H19">
        <v>120000</v>
      </c>
      <c r="I19">
        <f t="shared" si="0"/>
        <v>30000</v>
      </c>
      <c r="J19" t="s">
        <v>14</v>
      </c>
      <c r="K19" t="s">
        <v>40</v>
      </c>
    </row>
    <row r="20" spans="1:11" ht="14.5" x14ac:dyDescent="0.35">
      <c r="A20" t="s">
        <v>57</v>
      </c>
      <c r="B20" s="3" t="s">
        <v>190</v>
      </c>
      <c r="C20" t="s">
        <v>31</v>
      </c>
      <c r="D20" t="s">
        <v>52</v>
      </c>
      <c r="E20" t="s">
        <v>19</v>
      </c>
      <c r="F20">
        <v>2</v>
      </c>
      <c r="G20">
        <v>100000</v>
      </c>
      <c r="H20">
        <v>200000</v>
      </c>
      <c r="I20">
        <f t="shared" si="0"/>
        <v>50000</v>
      </c>
      <c r="J20" t="s">
        <v>42</v>
      </c>
      <c r="K20" t="s">
        <v>20</v>
      </c>
    </row>
    <row r="21" spans="1:11" ht="14.5" x14ac:dyDescent="0.35">
      <c r="A21" t="s">
        <v>58</v>
      </c>
      <c r="B21" s="3" t="s">
        <v>191</v>
      </c>
      <c r="C21" t="s">
        <v>54</v>
      </c>
      <c r="D21" t="s">
        <v>32</v>
      </c>
      <c r="E21" t="s">
        <v>13</v>
      </c>
      <c r="F21">
        <v>5</v>
      </c>
      <c r="G21">
        <v>15000</v>
      </c>
      <c r="H21">
        <v>75000</v>
      </c>
      <c r="I21">
        <f t="shared" si="0"/>
        <v>18750</v>
      </c>
      <c r="J21" t="s">
        <v>42</v>
      </c>
      <c r="K21" t="s">
        <v>29</v>
      </c>
    </row>
    <row r="22" spans="1:11" ht="14.5" x14ac:dyDescent="0.35">
      <c r="A22" t="s">
        <v>59</v>
      </c>
      <c r="B22" s="3" t="s">
        <v>192</v>
      </c>
      <c r="C22" t="s">
        <v>26</v>
      </c>
      <c r="D22" t="s">
        <v>32</v>
      </c>
      <c r="E22" t="s">
        <v>13</v>
      </c>
      <c r="F22">
        <v>1</v>
      </c>
      <c r="G22">
        <v>15000</v>
      </c>
      <c r="H22">
        <v>15000</v>
      </c>
      <c r="I22">
        <f t="shared" si="0"/>
        <v>3750</v>
      </c>
      <c r="J22" t="s">
        <v>14</v>
      </c>
      <c r="K22" t="s">
        <v>29</v>
      </c>
    </row>
    <row r="23" spans="1:11" ht="14.5" x14ac:dyDescent="0.35">
      <c r="A23" t="s">
        <v>60</v>
      </c>
      <c r="B23" s="3" t="s">
        <v>193</v>
      </c>
      <c r="C23" t="s">
        <v>11</v>
      </c>
      <c r="D23" t="s">
        <v>45</v>
      </c>
      <c r="E23" t="s">
        <v>19</v>
      </c>
      <c r="F23">
        <v>6</v>
      </c>
      <c r="G23">
        <v>75000</v>
      </c>
      <c r="H23">
        <v>450000</v>
      </c>
      <c r="I23">
        <f t="shared" si="0"/>
        <v>112500</v>
      </c>
      <c r="J23" t="s">
        <v>33</v>
      </c>
      <c r="K23" t="s">
        <v>20</v>
      </c>
    </row>
    <row r="24" spans="1:11" ht="14.5" x14ac:dyDescent="0.35">
      <c r="A24" t="s">
        <v>61</v>
      </c>
      <c r="B24" s="3" t="s">
        <v>194</v>
      </c>
      <c r="C24" t="s">
        <v>22</v>
      </c>
      <c r="D24" t="s">
        <v>27</v>
      </c>
      <c r="E24" t="s">
        <v>13</v>
      </c>
      <c r="F24">
        <v>9</v>
      </c>
      <c r="G24">
        <v>25000</v>
      </c>
      <c r="H24">
        <v>225000</v>
      </c>
      <c r="I24">
        <f t="shared" si="0"/>
        <v>56250</v>
      </c>
      <c r="J24" t="s">
        <v>14</v>
      </c>
      <c r="K24" t="s">
        <v>20</v>
      </c>
    </row>
    <row r="25" spans="1:11" ht="14.5" x14ac:dyDescent="0.35">
      <c r="A25" t="s">
        <v>62</v>
      </c>
      <c r="B25" s="3" t="s">
        <v>195</v>
      </c>
      <c r="C25" t="s">
        <v>17</v>
      </c>
      <c r="D25" t="s">
        <v>12</v>
      </c>
      <c r="E25" t="s">
        <v>13</v>
      </c>
      <c r="F25">
        <v>3</v>
      </c>
      <c r="G25">
        <v>75000</v>
      </c>
      <c r="H25">
        <v>225000</v>
      </c>
      <c r="I25">
        <f t="shared" si="0"/>
        <v>56250</v>
      </c>
      <c r="J25" t="s">
        <v>14</v>
      </c>
      <c r="K25" t="s">
        <v>29</v>
      </c>
    </row>
    <row r="26" spans="1:11" ht="14.5" x14ac:dyDescent="0.35">
      <c r="A26" t="s">
        <v>63</v>
      </c>
      <c r="B26" s="3" t="s">
        <v>196</v>
      </c>
      <c r="C26" t="s">
        <v>35</v>
      </c>
      <c r="D26" t="s">
        <v>23</v>
      </c>
      <c r="E26" t="s">
        <v>19</v>
      </c>
      <c r="F26">
        <v>7</v>
      </c>
      <c r="G26">
        <v>75000</v>
      </c>
      <c r="H26">
        <v>525000</v>
      </c>
      <c r="I26">
        <f t="shared" si="0"/>
        <v>131250</v>
      </c>
      <c r="J26" t="s">
        <v>14</v>
      </c>
      <c r="K26" t="s">
        <v>15</v>
      </c>
    </row>
    <row r="27" spans="1:11" ht="14.5" x14ac:dyDescent="0.35">
      <c r="A27" t="s">
        <v>64</v>
      </c>
      <c r="B27" s="3" t="s">
        <v>197</v>
      </c>
      <c r="C27" t="s">
        <v>54</v>
      </c>
      <c r="D27" t="s">
        <v>39</v>
      </c>
      <c r="E27" t="s">
        <v>19</v>
      </c>
      <c r="F27">
        <v>9</v>
      </c>
      <c r="G27">
        <v>100000</v>
      </c>
      <c r="H27">
        <v>900000</v>
      </c>
      <c r="I27">
        <f t="shared" si="0"/>
        <v>225000</v>
      </c>
      <c r="J27" t="s">
        <v>14</v>
      </c>
      <c r="K27" t="s">
        <v>43</v>
      </c>
    </row>
    <row r="28" spans="1:11" ht="14.5" x14ac:dyDescent="0.35">
      <c r="A28" t="s">
        <v>65</v>
      </c>
      <c r="B28" s="3" t="s">
        <v>198</v>
      </c>
      <c r="C28" t="s">
        <v>31</v>
      </c>
      <c r="D28" t="s">
        <v>12</v>
      </c>
      <c r="E28" t="s">
        <v>13</v>
      </c>
      <c r="F28">
        <v>3</v>
      </c>
      <c r="G28">
        <v>20000</v>
      </c>
      <c r="H28">
        <v>60000</v>
      </c>
      <c r="I28">
        <f t="shared" si="0"/>
        <v>15000</v>
      </c>
      <c r="J28" t="s">
        <v>14</v>
      </c>
      <c r="K28" t="s">
        <v>66</v>
      </c>
    </row>
    <row r="29" spans="1:11" ht="14.5" x14ac:dyDescent="0.35">
      <c r="A29" t="s">
        <v>67</v>
      </c>
      <c r="B29" s="3" t="s">
        <v>199</v>
      </c>
      <c r="C29" t="s">
        <v>35</v>
      </c>
      <c r="D29" t="s">
        <v>39</v>
      </c>
      <c r="E29" t="s">
        <v>19</v>
      </c>
      <c r="F29">
        <v>5</v>
      </c>
      <c r="G29">
        <v>25000</v>
      </c>
      <c r="H29">
        <v>125000</v>
      </c>
      <c r="I29">
        <f t="shared" si="0"/>
        <v>31250</v>
      </c>
      <c r="J29" t="s">
        <v>42</v>
      </c>
      <c r="K29" t="s">
        <v>43</v>
      </c>
    </row>
    <row r="30" spans="1:11" ht="14.5" x14ac:dyDescent="0.35">
      <c r="A30" t="s">
        <v>68</v>
      </c>
      <c r="B30" s="3" t="s">
        <v>200</v>
      </c>
      <c r="C30" t="s">
        <v>35</v>
      </c>
      <c r="D30" t="s">
        <v>18</v>
      </c>
      <c r="E30" t="s">
        <v>19</v>
      </c>
      <c r="F30">
        <v>3</v>
      </c>
      <c r="G30">
        <v>100000</v>
      </c>
      <c r="H30">
        <v>300000</v>
      </c>
      <c r="I30">
        <f t="shared" si="0"/>
        <v>75000</v>
      </c>
      <c r="J30" t="s">
        <v>42</v>
      </c>
      <c r="K30" t="s">
        <v>40</v>
      </c>
    </row>
    <row r="31" spans="1:11" ht="14.5" x14ac:dyDescent="0.35">
      <c r="A31" t="s">
        <v>69</v>
      </c>
      <c r="B31" s="3" t="s">
        <v>201</v>
      </c>
      <c r="C31" t="s">
        <v>35</v>
      </c>
      <c r="D31" t="s">
        <v>27</v>
      </c>
      <c r="E31" t="s">
        <v>13</v>
      </c>
      <c r="F31">
        <v>7</v>
      </c>
      <c r="G31">
        <v>75000</v>
      </c>
      <c r="H31">
        <v>525000</v>
      </c>
      <c r="I31">
        <f t="shared" si="0"/>
        <v>131250</v>
      </c>
      <c r="J31" t="s">
        <v>42</v>
      </c>
      <c r="K31" t="s">
        <v>36</v>
      </c>
    </row>
    <row r="32" spans="1:11" ht="14.5" x14ac:dyDescent="0.35">
      <c r="A32" t="s">
        <v>70</v>
      </c>
      <c r="B32" s="3" t="s">
        <v>202</v>
      </c>
      <c r="C32" t="s">
        <v>17</v>
      </c>
      <c r="D32" t="s">
        <v>45</v>
      </c>
      <c r="E32" t="s">
        <v>19</v>
      </c>
      <c r="F32">
        <v>5</v>
      </c>
      <c r="G32">
        <v>25000</v>
      </c>
      <c r="H32">
        <v>125000</v>
      </c>
      <c r="I32">
        <f t="shared" si="0"/>
        <v>31250</v>
      </c>
      <c r="J32" t="s">
        <v>14</v>
      </c>
      <c r="K32" t="s">
        <v>24</v>
      </c>
    </row>
    <row r="33" spans="1:11" ht="14.5" x14ac:dyDescent="0.35">
      <c r="A33" t="s">
        <v>71</v>
      </c>
      <c r="B33" s="3" t="s">
        <v>203</v>
      </c>
      <c r="C33" t="s">
        <v>35</v>
      </c>
      <c r="D33" t="s">
        <v>27</v>
      </c>
      <c r="E33" t="s">
        <v>13</v>
      </c>
      <c r="F33">
        <v>9</v>
      </c>
      <c r="G33">
        <v>100000</v>
      </c>
      <c r="H33">
        <v>900000</v>
      </c>
      <c r="I33">
        <f t="shared" si="0"/>
        <v>225000</v>
      </c>
      <c r="J33" t="s">
        <v>33</v>
      </c>
      <c r="K33" t="s">
        <v>36</v>
      </c>
    </row>
    <row r="34" spans="1:11" ht="14.5" x14ac:dyDescent="0.35">
      <c r="A34" t="s">
        <v>72</v>
      </c>
      <c r="B34" s="3" t="s">
        <v>204</v>
      </c>
      <c r="C34" t="s">
        <v>26</v>
      </c>
      <c r="D34" t="s">
        <v>18</v>
      </c>
      <c r="E34" t="s">
        <v>19</v>
      </c>
      <c r="F34">
        <v>7</v>
      </c>
      <c r="G34">
        <v>20000</v>
      </c>
      <c r="H34">
        <v>140000</v>
      </c>
      <c r="I34">
        <f t="shared" si="0"/>
        <v>35000</v>
      </c>
      <c r="J34" t="s">
        <v>28</v>
      </c>
      <c r="K34" t="s">
        <v>43</v>
      </c>
    </row>
    <row r="35" spans="1:11" ht="14.5" x14ac:dyDescent="0.35">
      <c r="A35" t="s">
        <v>73</v>
      </c>
      <c r="B35" s="3" t="s">
        <v>205</v>
      </c>
      <c r="C35" t="s">
        <v>38</v>
      </c>
      <c r="D35" t="s">
        <v>39</v>
      </c>
      <c r="E35" t="s">
        <v>19</v>
      </c>
      <c r="F35">
        <v>2</v>
      </c>
      <c r="G35">
        <v>100000</v>
      </c>
      <c r="H35">
        <v>200000</v>
      </c>
      <c r="I35">
        <f t="shared" si="0"/>
        <v>50000</v>
      </c>
      <c r="J35" t="s">
        <v>28</v>
      </c>
      <c r="K35" t="s">
        <v>20</v>
      </c>
    </row>
    <row r="36" spans="1:11" ht="14.5" x14ac:dyDescent="0.35">
      <c r="A36" t="s">
        <v>74</v>
      </c>
      <c r="B36" s="3" t="s">
        <v>198</v>
      </c>
      <c r="C36" t="s">
        <v>26</v>
      </c>
      <c r="D36" t="s">
        <v>39</v>
      </c>
      <c r="E36" t="s">
        <v>19</v>
      </c>
      <c r="F36">
        <v>4</v>
      </c>
      <c r="G36">
        <v>20000</v>
      </c>
      <c r="H36">
        <v>80000</v>
      </c>
      <c r="I36">
        <f t="shared" si="0"/>
        <v>20000</v>
      </c>
      <c r="J36" t="s">
        <v>33</v>
      </c>
      <c r="K36" t="s">
        <v>40</v>
      </c>
    </row>
    <row r="37" spans="1:11" ht="14.5" x14ac:dyDescent="0.35">
      <c r="A37" t="s">
        <v>75</v>
      </c>
      <c r="B37" s="3" t="s">
        <v>206</v>
      </c>
      <c r="C37" t="s">
        <v>54</v>
      </c>
      <c r="D37" t="s">
        <v>27</v>
      </c>
      <c r="E37" t="s">
        <v>13</v>
      </c>
      <c r="F37">
        <v>9</v>
      </c>
      <c r="G37">
        <v>75000</v>
      </c>
      <c r="H37">
        <v>675000</v>
      </c>
      <c r="I37">
        <f t="shared" si="0"/>
        <v>168750</v>
      </c>
      <c r="J37" t="s">
        <v>14</v>
      </c>
      <c r="K37" t="s">
        <v>66</v>
      </c>
    </row>
    <row r="38" spans="1:11" ht="14.5" x14ac:dyDescent="0.35">
      <c r="A38" t="s">
        <v>76</v>
      </c>
      <c r="B38" s="3" t="s">
        <v>207</v>
      </c>
      <c r="C38" t="s">
        <v>38</v>
      </c>
      <c r="D38" t="s">
        <v>52</v>
      </c>
      <c r="E38" t="s">
        <v>19</v>
      </c>
      <c r="F38">
        <v>2</v>
      </c>
      <c r="G38">
        <v>20000</v>
      </c>
      <c r="H38">
        <v>40000</v>
      </c>
      <c r="I38">
        <f t="shared" si="0"/>
        <v>10000</v>
      </c>
      <c r="J38" t="s">
        <v>28</v>
      </c>
      <c r="K38" t="s">
        <v>24</v>
      </c>
    </row>
    <row r="39" spans="1:11" ht="14.5" x14ac:dyDescent="0.35">
      <c r="A39" t="s">
        <v>77</v>
      </c>
      <c r="B39" s="3" t="s">
        <v>208</v>
      </c>
      <c r="C39" t="s">
        <v>38</v>
      </c>
      <c r="D39" t="s">
        <v>18</v>
      </c>
      <c r="E39" t="s">
        <v>19</v>
      </c>
      <c r="F39">
        <v>9</v>
      </c>
      <c r="G39">
        <v>25000</v>
      </c>
      <c r="H39">
        <v>225000</v>
      </c>
      <c r="I39">
        <f t="shared" si="0"/>
        <v>56250</v>
      </c>
      <c r="J39" t="s">
        <v>33</v>
      </c>
      <c r="K39" t="s">
        <v>24</v>
      </c>
    </row>
    <row r="40" spans="1:11" ht="14.5" x14ac:dyDescent="0.35">
      <c r="A40" t="s">
        <v>78</v>
      </c>
      <c r="B40" s="3" t="s">
        <v>209</v>
      </c>
      <c r="C40" t="s">
        <v>38</v>
      </c>
      <c r="D40" t="s">
        <v>45</v>
      </c>
      <c r="E40" t="s">
        <v>19</v>
      </c>
      <c r="F40">
        <v>5</v>
      </c>
      <c r="G40">
        <v>75000</v>
      </c>
      <c r="H40">
        <v>375000</v>
      </c>
      <c r="I40">
        <f t="shared" si="0"/>
        <v>93750</v>
      </c>
      <c r="J40" t="s">
        <v>42</v>
      </c>
      <c r="K40" t="s">
        <v>43</v>
      </c>
    </row>
    <row r="41" spans="1:11" ht="14.5" x14ac:dyDescent="0.35">
      <c r="A41" t="s">
        <v>79</v>
      </c>
      <c r="B41" s="3" t="s">
        <v>210</v>
      </c>
      <c r="C41" t="s">
        <v>54</v>
      </c>
      <c r="D41" t="s">
        <v>12</v>
      </c>
      <c r="E41" t="s">
        <v>13</v>
      </c>
      <c r="F41">
        <v>2</v>
      </c>
      <c r="G41">
        <v>25000</v>
      </c>
      <c r="H41">
        <v>50000</v>
      </c>
      <c r="I41">
        <f t="shared" si="0"/>
        <v>12500</v>
      </c>
      <c r="J41" t="s">
        <v>14</v>
      </c>
      <c r="K41" t="s">
        <v>40</v>
      </c>
    </row>
    <row r="42" spans="1:11" ht="14.5" x14ac:dyDescent="0.35">
      <c r="A42" t="s">
        <v>80</v>
      </c>
      <c r="B42" s="3" t="s">
        <v>195</v>
      </c>
      <c r="C42" t="s">
        <v>17</v>
      </c>
      <c r="D42" t="s">
        <v>52</v>
      </c>
      <c r="E42" t="s">
        <v>19</v>
      </c>
      <c r="F42">
        <v>4</v>
      </c>
      <c r="G42">
        <v>15000</v>
      </c>
      <c r="H42">
        <v>60000</v>
      </c>
      <c r="I42">
        <f t="shared" si="0"/>
        <v>15000</v>
      </c>
      <c r="J42" t="s">
        <v>14</v>
      </c>
      <c r="K42" t="s">
        <v>20</v>
      </c>
    </row>
    <row r="43" spans="1:11" ht="14.5" x14ac:dyDescent="0.35">
      <c r="A43" t="s">
        <v>81</v>
      </c>
      <c r="B43" s="3" t="s">
        <v>211</v>
      </c>
      <c r="C43" t="s">
        <v>26</v>
      </c>
      <c r="D43" t="s">
        <v>27</v>
      </c>
      <c r="E43" t="s">
        <v>13</v>
      </c>
      <c r="F43">
        <v>7</v>
      </c>
      <c r="G43">
        <v>50000</v>
      </c>
      <c r="H43">
        <v>350000</v>
      </c>
      <c r="I43">
        <f t="shared" si="0"/>
        <v>87500</v>
      </c>
      <c r="J43" t="s">
        <v>33</v>
      </c>
      <c r="K43" t="s">
        <v>36</v>
      </c>
    </row>
    <row r="44" spans="1:11" ht="14.5" x14ac:dyDescent="0.35">
      <c r="A44" t="s">
        <v>82</v>
      </c>
      <c r="B44" s="3" t="s">
        <v>212</v>
      </c>
      <c r="C44" t="s">
        <v>22</v>
      </c>
      <c r="D44" t="s">
        <v>52</v>
      </c>
      <c r="E44" t="s">
        <v>19</v>
      </c>
      <c r="F44">
        <v>3</v>
      </c>
      <c r="G44">
        <v>50000</v>
      </c>
      <c r="H44">
        <v>150000</v>
      </c>
      <c r="I44">
        <f t="shared" si="0"/>
        <v>37500</v>
      </c>
      <c r="J44" t="s">
        <v>28</v>
      </c>
      <c r="K44" t="s">
        <v>43</v>
      </c>
    </row>
    <row r="45" spans="1:11" ht="14.5" x14ac:dyDescent="0.35">
      <c r="A45" t="s">
        <v>83</v>
      </c>
      <c r="B45" s="3" t="s">
        <v>213</v>
      </c>
      <c r="C45" t="s">
        <v>35</v>
      </c>
      <c r="D45" t="s">
        <v>32</v>
      </c>
      <c r="E45" t="s">
        <v>13</v>
      </c>
      <c r="F45">
        <v>1</v>
      </c>
      <c r="G45">
        <v>50000</v>
      </c>
      <c r="H45">
        <v>50000</v>
      </c>
      <c r="I45">
        <f t="shared" si="0"/>
        <v>12500</v>
      </c>
      <c r="J45" t="s">
        <v>14</v>
      </c>
      <c r="K45" t="s">
        <v>20</v>
      </c>
    </row>
    <row r="46" spans="1:11" ht="14.5" x14ac:dyDescent="0.35">
      <c r="A46" t="s">
        <v>84</v>
      </c>
      <c r="B46" s="3" t="s">
        <v>214</v>
      </c>
      <c r="C46" t="s">
        <v>17</v>
      </c>
      <c r="D46" t="s">
        <v>39</v>
      </c>
      <c r="E46" t="s">
        <v>19</v>
      </c>
      <c r="F46">
        <v>4</v>
      </c>
      <c r="G46">
        <v>20000</v>
      </c>
      <c r="H46">
        <v>80000</v>
      </c>
      <c r="I46">
        <f t="shared" si="0"/>
        <v>20000</v>
      </c>
      <c r="J46" t="s">
        <v>33</v>
      </c>
      <c r="K46" t="s">
        <v>40</v>
      </c>
    </row>
    <row r="47" spans="1:11" ht="14.5" x14ac:dyDescent="0.35">
      <c r="A47" t="s">
        <v>85</v>
      </c>
      <c r="B47" s="3" t="s">
        <v>215</v>
      </c>
      <c r="C47" t="s">
        <v>31</v>
      </c>
      <c r="D47" t="s">
        <v>45</v>
      </c>
      <c r="E47" t="s">
        <v>19</v>
      </c>
      <c r="F47">
        <v>2</v>
      </c>
      <c r="G47">
        <v>75000</v>
      </c>
      <c r="H47">
        <v>150000</v>
      </c>
      <c r="I47">
        <f t="shared" si="0"/>
        <v>37500</v>
      </c>
      <c r="J47" t="s">
        <v>42</v>
      </c>
      <c r="K47" t="s">
        <v>15</v>
      </c>
    </row>
    <row r="48" spans="1:11" ht="14.5" x14ac:dyDescent="0.35">
      <c r="A48" t="s">
        <v>86</v>
      </c>
      <c r="B48" s="3" t="s">
        <v>216</v>
      </c>
      <c r="C48" t="s">
        <v>11</v>
      </c>
      <c r="D48" t="s">
        <v>45</v>
      </c>
      <c r="E48" t="s">
        <v>19</v>
      </c>
      <c r="F48">
        <v>8</v>
      </c>
      <c r="G48">
        <v>15000</v>
      </c>
      <c r="H48">
        <v>120000</v>
      </c>
      <c r="I48">
        <f t="shared" si="0"/>
        <v>30000</v>
      </c>
      <c r="J48" t="s">
        <v>28</v>
      </c>
      <c r="K48" t="s">
        <v>40</v>
      </c>
    </row>
    <row r="49" spans="1:11" ht="14.5" x14ac:dyDescent="0.35">
      <c r="A49" t="s">
        <v>87</v>
      </c>
      <c r="B49" s="3" t="s">
        <v>217</v>
      </c>
      <c r="C49" t="s">
        <v>11</v>
      </c>
      <c r="D49" t="s">
        <v>45</v>
      </c>
      <c r="E49" t="s">
        <v>19</v>
      </c>
      <c r="F49">
        <v>4</v>
      </c>
      <c r="G49">
        <v>25000</v>
      </c>
      <c r="H49">
        <v>100000</v>
      </c>
      <c r="I49">
        <f t="shared" si="0"/>
        <v>25000</v>
      </c>
      <c r="J49" t="s">
        <v>42</v>
      </c>
      <c r="K49" t="s">
        <v>36</v>
      </c>
    </row>
    <row r="50" spans="1:11" ht="14.5" x14ac:dyDescent="0.35">
      <c r="A50" t="s">
        <v>88</v>
      </c>
      <c r="B50" s="3" t="s">
        <v>218</v>
      </c>
      <c r="C50" t="s">
        <v>35</v>
      </c>
      <c r="D50" t="s">
        <v>12</v>
      </c>
      <c r="E50" t="s">
        <v>13</v>
      </c>
      <c r="F50">
        <v>2</v>
      </c>
      <c r="G50">
        <v>100000</v>
      </c>
      <c r="H50">
        <v>200000</v>
      </c>
      <c r="I50">
        <f t="shared" si="0"/>
        <v>50000</v>
      </c>
      <c r="J50" t="s">
        <v>33</v>
      </c>
      <c r="K50" t="s">
        <v>66</v>
      </c>
    </row>
    <row r="51" spans="1:11" ht="14.5" x14ac:dyDescent="0.35">
      <c r="A51" t="s">
        <v>89</v>
      </c>
      <c r="B51" s="3" t="s">
        <v>219</v>
      </c>
      <c r="C51" t="s">
        <v>17</v>
      </c>
      <c r="D51" t="s">
        <v>45</v>
      </c>
      <c r="E51" t="s">
        <v>19</v>
      </c>
      <c r="F51">
        <v>6</v>
      </c>
      <c r="G51">
        <v>25000</v>
      </c>
      <c r="H51">
        <v>150000</v>
      </c>
      <c r="I51">
        <f t="shared" si="0"/>
        <v>37500</v>
      </c>
      <c r="J51" t="s">
        <v>42</v>
      </c>
      <c r="K51" t="s">
        <v>15</v>
      </c>
    </row>
    <row r="52" spans="1:11" ht="14.5" x14ac:dyDescent="0.35">
      <c r="A52" t="s">
        <v>90</v>
      </c>
      <c r="B52" s="3" t="s">
        <v>220</v>
      </c>
      <c r="C52" t="s">
        <v>31</v>
      </c>
      <c r="D52" t="s">
        <v>12</v>
      </c>
      <c r="E52" t="s">
        <v>13</v>
      </c>
      <c r="F52">
        <v>6</v>
      </c>
      <c r="G52">
        <v>100000</v>
      </c>
      <c r="H52">
        <v>600000</v>
      </c>
      <c r="I52">
        <f t="shared" si="0"/>
        <v>150000</v>
      </c>
      <c r="J52" t="s">
        <v>28</v>
      </c>
      <c r="K52" t="s">
        <v>15</v>
      </c>
    </row>
    <row r="53" spans="1:11" ht="14.5" x14ac:dyDescent="0.35">
      <c r="A53" t="s">
        <v>91</v>
      </c>
      <c r="B53" s="3" t="s">
        <v>221</v>
      </c>
      <c r="C53" t="s">
        <v>26</v>
      </c>
      <c r="D53" t="s">
        <v>32</v>
      </c>
      <c r="E53" t="s">
        <v>13</v>
      </c>
      <c r="F53">
        <v>4</v>
      </c>
      <c r="G53">
        <v>25000</v>
      </c>
      <c r="H53">
        <v>100000</v>
      </c>
      <c r="I53">
        <f t="shared" si="0"/>
        <v>25000</v>
      </c>
      <c r="J53" t="s">
        <v>14</v>
      </c>
      <c r="K53" t="s">
        <v>24</v>
      </c>
    </row>
    <row r="54" spans="1:11" ht="14.5" x14ac:dyDescent="0.35">
      <c r="A54" t="s">
        <v>92</v>
      </c>
      <c r="B54" s="3" t="s">
        <v>222</v>
      </c>
      <c r="C54" t="s">
        <v>22</v>
      </c>
      <c r="D54" t="s">
        <v>12</v>
      </c>
      <c r="E54" t="s">
        <v>13</v>
      </c>
      <c r="F54">
        <v>6</v>
      </c>
      <c r="G54">
        <v>20000</v>
      </c>
      <c r="H54">
        <v>120000</v>
      </c>
      <c r="I54">
        <f t="shared" si="0"/>
        <v>30000</v>
      </c>
      <c r="J54" t="s">
        <v>28</v>
      </c>
      <c r="K54" t="s">
        <v>36</v>
      </c>
    </row>
    <row r="55" spans="1:11" ht="14.5" x14ac:dyDescent="0.35">
      <c r="A55" t="s">
        <v>93</v>
      </c>
      <c r="B55" s="3" t="s">
        <v>223</v>
      </c>
      <c r="C55" t="s">
        <v>31</v>
      </c>
      <c r="D55" t="s">
        <v>18</v>
      </c>
      <c r="E55" t="s">
        <v>19</v>
      </c>
      <c r="F55">
        <v>2</v>
      </c>
      <c r="G55">
        <v>15000</v>
      </c>
      <c r="H55">
        <v>30000</v>
      </c>
      <c r="I55">
        <f t="shared" si="0"/>
        <v>7500</v>
      </c>
      <c r="J55" t="s">
        <v>33</v>
      </c>
      <c r="K55" t="s">
        <v>29</v>
      </c>
    </row>
    <row r="56" spans="1:11" ht="14.5" x14ac:dyDescent="0.35">
      <c r="A56" t="s">
        <v>94</v>
      </c>
      <c r="B56" s="3" t="s">
        <v>224</v>
      </c>
      <c r="C56" t="s">
        <v>17</v>
      </c>
      <c r="D56" t="s">
        <v>23</v>
      </c>
      <c r="E56" t="s">
        <v>19</v>
      </c>
      <c r="F56">
        <v>2</v>
      </c>
      <c r="G56">
        <v>100000</v>
      </c>
      <c r="H56">
        <v>200000</v>
      </c>
      <c r="I56">
        <f t="shared" si="0"/>
        <v>50000</v>
      </c>
      <c r="J56" t="s">
        <v>28</v>
      </c>
      <c r="K56" t="s">
        <v>15</v>
      </c>
    </row>
    <row r="57" spans="1:11" ht="14.5" x14ac:dyDescent="0.35">
      <c r="A57" t="s">
        <v>95</v>
      </c>
      <c r="B57" s="3" t="s">
        <v>196</v>
      </c>
      <c r="C57" t="s">
        <v>54</v>
      </c>
      <c r="D57" t="s">
        <v>45</v>
      </c>
      <c r="E57" t="s">
        <v>19</v>
      </c>
      <c r="F57">
        <v>4</v>
      </c>
      <c r="G57">
        <v>75000</v>
      </c>
      <c r="H57">
        <v>300000</v>
      </c>
      <c r="I57">
        <f t="shared" si="0"/>
        <v>75000</v>
      </c>
      <c r="J57" t="s">
        <v>33</v>
      </c>
      <c r="K57" t="s">
        <v>43</v>
      </c>
    </row>
    <row r="58" spans="1:11" ht="14.5" x14ac:dyDescent="0.35">
      <c r="A58" t="s">
        <v>96</v>
      </c>
      <c r="B58" s="3" t="s">
        <v>225</v>
      </c>
      <c r="C58" t="s">
        <v>11</v>
      </c>
      <c r="D58" t="s">
        <v>39</v>
      </c>
      <c r="E58" t="s">
        <v>19</v>
      </c>
      <c r="F58">
        <v>8</v>
      </c>
      <c r="G58">
        <v>25000</v>
      </c>
      <c r="H58">
        <v>200000</v>
      </c>
      <c r="I58">
        <f t="shared" si="0"/>
        <v>50000</v>
      </c>
      <c r="J58" t="s">
        <v>33</v>
      </c>
      <c r="K58" t="s">
        <v>36</v>
      </c>
    </row>
    <row r="59" spans="1:11" ht="14.5" x14ac:dyDescent="0.35">
      <c r="A59" t="s">
        <v>97</v>
      </c>
      <c r="B59" s="3" t="s">
        <v>226</v>
      </c>
      <c r="C59" t="s">
        <v>11</v>
      </c>
      <c r="D59" t="s">
        <v>39</v>
      </c>
      <c r="E59" t="s">
        <v>19</v>
      </c>
      <c r="F59">
        <v>7</v>
      </c>
      <c r="G59">
        <v>25000</v>
      </c>
      <c r="H59">
        <v>175000</v>
      </c>
      <c r="I59">
        <f t="shared" si="0"/>
        <v>43750</v>
      </c>
      <c r="J59" t="s">
        <v>14</v>
      </c>
      <c r="K59" t="s">
        <v>20</v>
      </c>
    </row>
    <row r="60" spans="1:11" ht="14.5" x14ac:dyDescent="0.35">
      <c r="A60" t="s">
        <v>98</v>
      </c>
      <c r="B60" s="3" t="s">
        <v>227</v>
      </c>
      <c r="C60" t="s">
        <v>22</v>
      </c>
      <c r="D60" t="s">
        <v>39</v>
      </c>
      <c r="E60" t="s">
        <v>19</v>
      </c>
      <c r="F60">
        <v>9</v>
      </c>
      <c r="G60">
        <v>100000</v>
      </c>
      <c r="H60">
        <v>900000</v>
      </c>
      <c r="I60">
        <f t="shared" si="0"/>
        <v>225000</v>
      </c>
      <c r="J60" t="s">
        <v>42</v>
      </c>
      <c r="K60" t="s">
        <v>40</v>
      </c>
    </row>
    <row r="61" spans="1:11" ht="14.5" x14ac:dyDescent="0.35">
      <c r="A61" t="s">
        <v>99</v>
      </c>
      <c r="B61" s="3" t="s">
        <v>228</v>
      </c>
      <c r="C61" t="s">
        <v>35</v>
      </c>
      <c r="D61" t="s">
        <v>12</v>
      </c>
      <c r="E61" t="s">
        <v>13</v>
      </c>
      <c r="F61">
        <v>8</v>
      </c>
      <c r="G61">
        <v>75000</v>
      </c>
      <c r="H61">
        <v>600000</v>
      </c>
      <c r="I61">
        <f t="shared" si="0"/>
        <v>150000</v>
      </c>
      <c r="J61" t="s">
        <v>42</v>
      </c>
      <c r="K61" t="s">
        <v>15</v>
      </c>
    </row>
    <row r="62" spans="1:11" ht="14.5" x14ac:dyDescent="0.35">
      <c r="A62" t="s">
        <v>100</v>
      </c>
      <c r="B62" s="3" t="s">
        <v>229</v>
      </c>
      <c r="C62" t="s">
        <v>11</v>
      </c>
      <c r="D62" t="s">
        <v>18</v>
      </c>
      <c r="E62" t="s">
        <v>19</v>
      </c>
      <c r="F62">
        <v>5</v>
      </c>
      <c r="G62">
        <v>75000</v>
      </c>
      <c r="H62">
        <v>375000</v>
      </c>
      <c r="I62">
        <f t="shared" si="0"/>
        <v>93750</v>
      </c>
      <c r="J62" t="s">
        <v>14</v>
      </c>
      <c r="K62" t="s">
        <v>15</v>
      </c>
    </row>
    <row r="63" spans="1:11" ht="14.5" x14ac:dyDescent="0.35">
      <c r="A63" t="s">
        <v>101</v>
      </c>
      <c r="B63" s="3" t="s">
        <v>230</v>
      </c>
      <c r="C63" t="s">
        <v>26</v>
      </c>
      <c r="D63" t="s">
        <v>18</v>
      </c>
      <c r="E63" t="s">
        <v>19</v>
      </c>
      <c r="F63">
        <v>2</v>
      </c>
      <c r="G63">
        <v>20000</v>
      </c>
      <c r="H63">
        <v>40000</v>
      </c>
      <c r="I63">
        <f t="shared" si="0"/>
        <v>10000</v>
      </c>
      <c r="J63" t="s">
        <v>42</v>
      </c>
      <c r="K63" t="s">
        <v>40</v>
      </c>
    </row>
    <row r="64" spans="1:11" ht="14.5" x14ac:dyDescent="0.35">
      <c r="A64" t="s">
        <v>102</v>
      </c>
      <c r="B64" s="3" t="s">
        <v>231</v>
      </c>
      <c r="C64" t="s">
        <v>11</v>
      </c>
      <c r="D64" t="s">
        <v>32</v>
      </c>
      <c r="E64" t="s">
        <v>13</v>
      </c>
      <c r="F64">
        <v>5</v>
      </c>
      <c r="G64">
        <v>20000</v>
      </c>
      <c r="H64">
        <v>100000</v>
      </c>
      <c r="I64">
        <f t="shared" si="0"/>
        <v>25000</v>
      </c>
      <c r="J64" t="s">
        <v>28</v>
      </c>
      <c r="K64" t="s">
        <v>24</v>
      </c>
    </row>
    <row r="65" spans="1:11" ht="14.5" x14ac:dyDescent="0.35">
      <c r="A65" t="s">
        <v>103</v>
      </c>
      <c r="B65" s="3" t="s">
        <v>232</v>
      </c>
      <c r="C65" t="s">
        <v>11</v>
      </c>
      <c r="D65" t="s">
        <v>23</v>
      </c>
      <c r="E65" t="s">
        <v>19</v>
      </c>
      <c r="F65">
        <v>8</v>
      </c>
      <c r="G65">
        <v>20000</v>
      </c>
      <c r="H65">
        <v>160000</v>
      </c>
      <c r="I65">
        <f t="shared" si="0"/>
        <v>40000</v>
      </c>
      <c r="J65" t="s">
        <v>28</v>
      </c>
      <c r="K65" t="s">
        <v>43</v>
      </c>
    </row>
    <row r="66" spans="1:11" ht="14.5" x14ac:dyDescent="0.35">
      <c r="A66" t="s">
        <v>104</v>
      </c>
      <c r="B66" s="3" t="s">
        <v>233</v>
      </c>
      <c r="C66" t="s">
        <v>22</v>
      </c>
      <c r="D66" t="s">
        <v>39</v>
      </c>
      <c r="E66" t="s">
        <v>19</v>
      </c>
      <c r="F66">
        <v>9</v>
      </c>
      <c r="G66">
        <v>20000</v>
      </c>
      <c r="H66">
        <v>180000</v>
      </c>
      <c r="I66">
        <f t="shared" si="0"/>
        <v>45000</v>
      </c>
      <c r="J66" t="s">
        <v>14</v>
      </c>
      <c r="K66" t="s">
        <v>15</v>
      </c>
    </row>
    <row r="67" spans="1:11" ht="14.5" x14ac:dyDescent="0.35">
      <c r="A67" t="s">
        <v>105</v>
      </c>
      <c r="B67" s="3" t="s">
        <v>234</v>
      </c>
      <c r="C67" t="s">
        <v>11</v>
      </c>
      <c r="D67" t="s">
        <v>18</v>
      </c>
      <c r="E67" t="s">
        <v>19</v>
      </c>
      <c r="F67">
        <v>9</v>
      </c>
      <c r="G67">
        <v>20000</v>
      </c>
      <c r="H67">
        <v>180000</v>
      </c>
      <c r="I67">
        <f t="shared" ref="I67:I111" si="1">H67*25%</f>
        <v>45000</v>
      </c>
      <c r="J67" t="s">
        <v>42</v>
      </c>
      <c r="K67" t="s">
        <v>43</v>
      </c>
    </row>
    <row r="68" spans="1:11" ht="14.5" x14ac:dyDescent="0.35">
      <c r="A68" t="s">
        <v>106</v>
      </c>
      <c r="B68" s="3" t="s">
        <v>235</v>
      </c>
      <c r="C68" t="s">
        <v>31</v>
      </c>
      <c r="D68" t="s">
        <v>18</v>
      </c>
      <c r="E68" t="s">
        <v>19</v>
      </c>
      <c r="F68">
        <v>1</v>
      </c>
      <c r="G68">
        <v>20000</v>
      </c>
      <c r="H68">
        <v>20000</v>
      </c>
      <c r="I68">
        <f t="shared" si="1"/>
        <v>5000</v>
      </c>
      <c r="J68" t="s">
        <v>14</v>
      </c>
      <c r="K68" t="s">
        <v>20</v>
      </c>
    </row>
    <row r="69" spans="1:11" ht="14.5" x14ac:dyDescent="0.35">
      <c r="A69" t="s">
        <v>107</v>
      </c>
      <c r="B69" s="3" t="s">
        <v>236</v>
      </c>
      <c r="C69" t="s">
        <v>22</v>
      </c>
      <c r="D69" t="s">
        <v>23</v>
      </c>
      <c r="E69" t="s">
        <v>19</v>
      </c>
      <c r="F69">
        <v>9</v>
      </c>
      <c r="G69">
        <v>15000</v>
      </c>
      <c r="H69">
        <v>135000</v>
      </c>
      <c r="I69">
        <f t="shared" si="1"/>
        <v>33750</v>
      </c>
      <c r="J69" t="s">
        <v>28</v>
      </c>
      <c r="K69" t="s">
        <v>43</v>
      </c>
    </row>
    <row r="70" spans="1:11" ht="14.5" x14ac:dyDescent="0.35">
      <c r="A70" t="s">
        <v>108</v>
      </c>
      <c r="B70" s="3" t="s">
        <v>237</v>
      </c>
      <c r="C70" t="s">
        <v>26</v>
      </c>
      <c r="D70" t="s">
        <v>27</v>
      </c>
      <c r="E70" t="s">
        <v>13</v>
      </c>
      <c r="F70">
        <v>7</v>
      </c>
      <c r="G70">
        <v>75000</v>
      </c>
      <c r="H70">
        <v>525000</v>
      </c>
      <c r="I70">
        <f t="shared" si="1"/>
        <v>131250</v>
      </c>
      <c r="J70" t="s">
        <v>14</v>
      </c>
      <c r="K70" t="s">
        <v>20</v>
      </c>
    </row>
    <row r="71" spans="1:11" ht="14.5" x14ac:dyDescent="0.35">
      <c r="A71" t="s">
        <v>109</v>
      </c>
      <c r="B71" s="3" t="s">
        <v>238</v>
      </c>
      <c r="C71" t="s">
        <v>35</v>
      </c>
      <c r="D71" t="s">
        <v>18</v>
      </c>
      <c r="E71" t="s">
        <v>19</v>
      </c>
      <c r="F71">
        <v>9</v>
      </c>
      <c r="G71">
        <v>20000</v>
      </c>
      <c r="H71">
        <v>180000</v>
      </c>
      <c r="I71">
        <f t="shared" si="1"/>
        <v>45000</v>
      </c>
      <c r="J71" t="s">
        <v>33</v>
      </c>
      <c r="K71" t="s">
        <v>29</v>
      </c>
    </row>
    <row r="72" spans="1:11" ht="14.5" x14ac:dyDescent="0.35">
      <c r="A72" t="s">
        <v>110</v>
      </c>
      <c r="B72" s="3" t="s">
        <v>239</v>
      </c>
      <c r="C72" t="s">
        <v>38</v>
      </c>
      <c r="D72" t="s">
        <v>52</v>
      </c>
      <c r="E72" t="s">
        <v>19</v>
      </c>
      <c r="F72">
        <v>8</v>
      </c>
      <c r="G72">
        <v>75000</v>
      </c>
      <c r="H72">
        <v>600000</v>
      </c>
      <c r="I72">
        <f t="shared" si="1"/>
        <v>150000</v>
      </c>
      <c r="J72" t="s">
        <v>33</v>
      </c>
      <c r="K72" t="s">
        <v>66</v>
      </c>
    </row>
    <row r="73" spans="1:11" ht="14.5" x14ac:dyDescent="0.35">
      <c r="A73" t="s">
        <v>111</v>
      </c>
      <c r="B73" s="3" t="s">
        <v>238</v>
      </c>
      <c r="C73" t="s">
        <v>38</v>
      </c>
      <c r="D73" t="s">
        <v>23</v>
      </c>
      <c r="E73" t="s">
        <v>19</v>
      </c>
      <c r="F73">
        <v>1</v>
      </c>
      <c r="G73">
        <v>75000</v>
      </c>
      <c r="H73">
        <v>75000</v>
      </c>
      <c r="I73">
        <f t="shared" si="1"/>
        <v>18750</v>
      </c>
      <c r="J73" t="s">
        <v>33</v>
      </c>
      <c r="K73" t="s">
        <v>24</v>
      </c>
    </row>
    <row r="74" spans="1:11" ht="14.5" x14ac:dyDescent="0.35">
      <c r="A74" t="s">
        <v>112</v>
      </c>
      <c r="B74" s="3" t="s">
        <v>240</v>
      </c>
      <c r="C74" t="s">
        <v>11</v>
      </c>
      <c r="D74" t="s">
        <v>18</v>
      </c>
      <c r="E74" t="s">
        <v>19</v>
      </c>
      <c r="F74">
        <v>8</v>
      </c>
      <c r="G74">
        <v>50000</v>
      </c>
      <c r="H74">
        <v>400000</v>
      </c>
      <c r="I74">
        <f t="shared" si="1"/>
        <v>100000</v>
      </c>
      <c r="J74" t="s">
        <v>42</v>
      </c>
      <c r="K74" t="s">
        <v>43</v>
      </c>
    </row>
    <row r="75" spans="1:11" ht="14.5" x14ac:dyDescent="0.35">
      <c r="A75" t="s">
        <v>113</v>
      </c>
      <c r="B75" s="3" t="s">
        <v>241</v>
      </c>
      <c r="C75" t="s">
        <v>54</v>
      </c>
      <c r="D75" t="s">
        <v>12</v>
      </c>
      <c r="E75" t="s">
        <v>13</v>
      </c>
      <c r="F75">
        <v>8</v>
      </c>
      <c r="G75">
        <v>15000</v>
      </c>
      <c r="H75">
        <v>120000</v>
      </c>
      <c r="I75">
        <f t="shared" si="1"/>
        <v>30000</v>
      </c>
      <c r="J75" t="s">
        <v>42</v>
      </c>
      <c r="K75" t="s">
        <v>24</v>
      </c>
    </row>
    <row r="76" spans="1:11" ht="14.5" x14ac:dyDescent="0.35">
      <c r="A76" t="s">
        <v>114</v>
      </c>
      <c r="B76" s="3" t="s">
        <v>242</v>
      </c>
      <c r="C76" t="s">
        <v>38</v>
      </c>
      <c r="D76" t="s">
        <v>18</v>
      </c>
      <c r="E76" t="s">
        <v>19</v>
      </c>
      <c r="F76">
        <v>3</v>
      </c>
      <c r="G76">
        <v>20000</v>
      </c>
      <c r="H76">
        <v>60000</v>
      </c>
      <c r="I76">
        <f t="shared" si="1"/>
        <v>15000</v>
      </c>
      <c r="J76" t="s">
        <v>28</v>
      </c>
      <c r="K76" t="s">
        <v>15</v>
      </c>
    </row>
    <row r="77" spans="1:11" ht="14.5" x14ac:dyDescent="0.35">
      <c r="A77" t="s">
        <v>115</v>
      </c>
      <c r="B77" s="3" t="s">
        <v>233</v>
      </c>
      <c r="C77" t="s">
        <v>31</v>
      </c>
      <c r="D77" t="s">
        <v>23</v>
      </c>
      <c r="E77" t="s">
        <v>19</v>
      </c>
      <c r="F77">
        <v>1</v>
      </c>
      <c r="G77">
        <v>25000</v>
      </c>
      <c r="H77">
        <v>25000</v>
      </c>
      <c r="I77">
        <f t="shared" si="1"/>
        <v>6250</v>
      </c>
      <c r="J77" t="s">
        <v>14</v>
      </c>
      <c r="K77" t="s">
        <v>40</v>
      </c>
    </row>
    <row r="78" spans="1:11" ht="14.5" x14ac:dyDescent="0.35">
      <c r="A78" t="s">
        <v>116</v>
      </c>
      <c r="B78" s="3" t="s">
        <v>243</v>
      </c>
      <c r="C78" t="s">
        <v>38</v>
      </c>
      <c r="D78" t="s">
        <v>52</v>
      </c>
      <c r="E78" t="s">
        <v>19</v>
      </c>
      <c r="F78">
        <v>3</v>
      </c>
      <c r="G78">
        <v>25000</v>
      </c>
      <c r="H78">
        <v>75000</v>
      </c>
      <c r="I78">
        <f t="shared" si="1"/>
        <v>18750</v>
      </c>
      <c r="J78" t="s">
        <v>28</v>
      </c>
      <c r="K78" t="s">
        <v>29</v>
      </c>
    </row>
    <row r="79" spans="1:11" ht="14.5" x14ac:dyDescent="0.35">
      <c r="A79" t="s">
        <v>117</v>
      </c>
      <c r="B79" s="3" t="s">
        <v>244</v>
      </c>
      <c r="C79" t="s">
        <v>38</v>
      </c>
      <c r="D79" t="s">
        <v>39</v>
      </c>
      <c r="E79" t="s">
        <v>19</v>
      </c>
      <c r="F79">
        <v>3</v>
      </c>
      <c r="G79">
        <v>15000</v>
      </c>
      <c r="H79">
        <v>45000</v>
      </c>
      <c r="I79">
        <f t="shared" si="1"/>
        <v>11250</v>
      </c>
      <c r="J79" t="s">
        <v>33</v>
      </c>
      <c r="K79" t="s">
        <v>66</v>
      </c>
    </row>
    <row r="80" spans="1:11" ht="14.5" x14ac:dyDescent="0.35">
      <c r="A80" t="s">
        <v>118</v>
      </c>
      <c r="B80" s="3" t="s">
        <v>245</v>
      </c>
      <c r="C80" t="s">
        <v>38</v>
      </c>
      <c r="D80" t="s">
        <v>52</v>
      </c>
      <c r="E80" t="s">
        <v>19</v>
      </c>
      <c r="F80">
        <v>1</v>
      </c>
      <c r="G80">
        <v>100000</v>
      </c>
      <c r="H80">
        <v>100000</v>
      </c>
      <c r="I80">
        <f t="shared" si="1"/>
        <v>25000</v>
      </c>
      <c r="J80" t="s">
        <v>28</v>
      </c>
      <c r="K80" t="s">
        <v>40</v>
      </c>
    </row>
    <row r="81" spans="1:11" ht="14.5" x14ac:dyDescent="0.35">
      <c r="A81" t="s">
        <v>119</v>
      </c>
      <c r="B81" s="3" t="s">
        <v>246</v>
      </c>
      <c r="C81" t="s">
        <v>26</v>
      </c>
      <c r="D81" t="s">
        <v>52</v>
      </c>
      <c r="E81" t="s">
        <v>19</v>
      </c>
      <c r="F81">
        <v>5</v>
      </c>
      <c r="G81">
        <v>15000</v>
      </c>
      <c r="H81">
        <v>75000</v>
      </c>
      <c r="I81">
        <f t="shared" si="1"/>
        <v>18750</v>
      </c>
      <c r="J81" t="s">
        <v>14</v>
      </c>
      <c r="K81" t="s">
        <v>40</v>
      </c>
    </row>
    <row r="82" spans="1:11" ht="14.5" x14ac:dyDescent="0.35">
      <c r="A82" t="s">
        <v>120</v>
      </c>
      <c r="B82" s="3" t="s">
        <v>247</v>
      </c>
      <c r="C82" t="s">
        <v>54</v>
      </c>
      <c r="D82" t="s">
        <v>39</v>
      </c>
      <c r="E82" t="s">
        <v>19</v>
      </c>
      <c r="F82">
        <v>7</v>
      </c>
      <c r="G82">
        <v>75000</v>
      </c>
      <c r="H82">
        <v>525000</v>
      </c>
      <c r="I82">
        <f t="shared" si="1"/>
        <v>131250</v>
      </c>
      <c r="J82" t="s">
        <v>14</v>
      </c>
      <c r="K82" t="s">
        <v>40</v>
      </c>
    </row>
    <row r="83" spans="1:11" ht="14.5" x14ac:dyDescent="0.35">
      <c r="A83" t="s">
        <v>121</v>
      </c>
      <c r="B83" s="3" t="s">
        <v>223</v>
      </c>
      <c r="C83" t="s">
        <v>38</v>
      </c>
      <c r="D83" t="s">
        <v>32</v>
      </c>
      <c r="E83" t="s">
        <v>13</v>
      </c>
      <c r="F83">
        <v>9</v>
      </c>
      <c r="G83">
        <v>100000</v>
      </c>
      <c r="H83">
        <v>900000</v>
      </c>
      <c r="I83">
        <f t="shared" si="1"/>
        <v>225000</v>
      </c>
      <c r="J83" t="s">
        <v>33</v>
      </c>
      <c r="K83" t="s">
        <v>29</v>
      </c>
    </row>
    <row r="84" spans="1:11" ht="14.5" x14ac:dyDescent="0.35">
      <c r="A84" t="s">
        <v>122</v>
      </c>
      <c r="B84" s="3" t="s">
        <v>248</v>
      </c>
      <c r="C84" t="s">
        <v>26</v>
      </c>
      <c r="D84" t="s">
        <v>27</v>
      </c>
      <c r="E84" t="s">
        <v>13</v>
      </c>
      <c r="F84">
        <v>7</v>
      </c>
      <c r="G84">
        <v>75000</v>
      </c>
      <c r="H84">
        <v>525000</v>
      </c>
      <c r="I84">
        <f t="shared" si="1"/>
        <v>131250</v>
      </c>
      <c r="J84" t="s">
        <v>33</v>
      </c>
      <c r="K84" t="s">
        <v>15</v>
      </c>
    </row>
    <row r="85" spans="1:11" ht="14.5" x14ac:dyDescent="0.35">
      <c r="A85" t="s">
        <v>123</v>
      </c>
      <c r="B85" s="3" t="s">
        <v>249</v>
      </c>
      <c r="C85" t="s">
        <v>11</v>
      </c>
      <c r="D85" t="s">
        <v>32</v>
      </c>
      <c r="E85" t="s">
        <v>13</v>
      </c>
      <c r="F85">
        <v>8</v>
      </c>
      <c r="G85">
        <v>25000</v>
      </c>
      <c r="H85">
        <v>200000</v>
      </c>
      <c r="I85">
        <f t="shared" si="1"/>
        <v>50000</v>
      </c>
      <c r="J85" t="s">
        <v>14</v>
      </c>
      <c r="K85" t="s">
        <v>36</v>
      </c>
    </row>
    <row r="86" spans="1:11" ht="14.5" x14ac:dyDescent="0.35">
      <c r="A86" t="s">
        <v>124</v>
      </c>
      <c r="B86" s="3" t="s">
        <v>189</v>
      </c>
      <c r="C86" t="s">
        <v>26</v>
      </c>
      <c r="D86" t="s">
        <v>12</v>
      </c>
      <c r="E86" t="s">
        <v>13</v>
      </c>
      <c r="F86">
        <v>2</v>
      </c>
      <c r="G86">
        <v>100000</v>
      </c>
      <c r="H86">
        <v>200000</v>
      </c>
      <c r="I86">
        <f t="shared" si="1"/>
        <v>50000</v>
      </c>
      <c r="J86" t="s">
        <v>42</v>
      </c>
      <c r="K86" t="s">
        <v>43</v>
      </c>
    </row>
    <row r="87" spans="1:11" ht="14.5" x14ac:dyDescent="0.35">
      <c r="A87" t="s">
        <v>125</v>
      </c>
      <c r="B87" s="3" t="s">
        <v>246</v>
      </c>
      <c r="C87" t="s">
        <v>11</v>
      </c>
      <c r="D87" t="s">
        <v>18</v>
      </c>
      <c r="E87" t="s">
        <v>19</v>
      </c>
      <c r="F87">
        <v>1</v>
      </c>
      <c r="G87">
        <v>100000</v>
      </c>
      <c r="H87">
        <v>100000</v>
      </c>
      <c r="I87">
        <f t="shared" si="1"/>
        <v>25000</v>
      </c>
      <c r="J87" t="s">
        <v>42</v>
      </c>
      <c r="K87" t="s">
        <v>29</v>
      </c>
    </row>
    <row r="88" spans="1:11" ht="14.5" x14ac:dyDescent="0.35">
      <c r="A88" t="s">
        <v>126</v>
      </c>
      <c r="B88" s="3" t="s">
        <v>250</v>
      </c>
      <c r="C88" t="s">
        <v>26</v>
      </c>
      <c r="D88" t="s">
        <v>39</v>
      </c>
      <c r="E88" t="s">
        <v>19</v>
      </c>
      <c r="F88">
        <v>7</v>
      </c>
      <c r="G88">
        <v>20000</v>
      </c>
      <c r="H88">
        <v>140000</v>
      </c>
      <c r="I88">
        <f t="shared" si="1"/>
        <v>35000</v>
      </c>
      <c r="J88" t="s">
        <v>42</v>
      </c>
      <c r="K88" t="s">
        <v>40</v>
      </c>
    </row>
    <row r="89" spans="1:11" ht="14.5" x14ac:dyDescent="0.35">
      <c r="A89" t="s">
        <v>127</v>
      </c>
      <c r="B89" s="3" t="s">
        <v>251</v>
      </c>
      <c r="C89" t="s">
        <v>35</v>
      </c>
      <c r="D89" t="s">
        <v>52</v>
      </c>
      <c r="E89" t="s">
        <v>19</v>
      </c>
      <c r="F89">
        <v>7</v>
      </c>
      <c r="G89">
        <v>15000</v>
      </c>
      <c r="H89">
        <v>105000</v>
      </c>
      <c r="I89">
        <f t="shared" si="1"/>
        <v>26250</v>
      </c>
      <c r="J89" t="s">
        <v>33</v>
      </c>
      <c r="K89" t="s">
        <v>66</v>
      </c>
    </row>
    <row r="90" spans="1:11" ht="14.5" x14ac:dyDescent="0.35">
      <c r="A90" t="s">
        <v>128</v>
      </c>
      <c r="B90" s="3" t="s">
        <v>252</v>
      </c>
      <c r="C90" t="s">
        <v>31</v>
      </c>
      <c r="D90" t="s">
        <v>32</v>
      </c>
      <c r="E90" t="s">
        <v>13</v>
      </c>
      <c r="F90">
        <v>5</v>
      </c>
      <c r="G90">
        <v>15000</v>
      </c>
      <c r="H90">
        <v>75000</v>
      </c>
      <c r="I90">
        <f t="shared" si="1"/>
        <v>18750</v>
      </c>
      <c r="J90" t="s">
        <v>28</v>
      </c>
      <c r="K90" t="s">
        <v>40</v>
      </c>
    </row>
    <row r="91" spans="1:11" ht="14.5" x14ac:dyDescent="0.35">
      <c r="A91" t="s">
        <v>129</v>
      </c>
      <c r="B91" s="3" t="s">
        <v>253</v>
      </c>
      <c r="C91" t="s">
        <v>22</v>
      </c>
      <c r="D91" t="s">
        <v>12</v>
      </c>
      <c r="E91" t="s">
        <v>13</v>
      </c>
      <c r="F91">
        <v>3</v>
      </c>
      <c r="G91">
        <v>20000</v>
      </c>
      <c r="H91">
        <v>60000</v>
      </c>
      <c r="I91">
        <f t="shared" si="1"/>
        <v>15000</v>
      </c>
      <c r="J91" t="s">
        <v>42</v>
      </c>
      <c r="K91" t="s">
        <v>36</v>
      </c>
    </row>
    <row r="92" spans="1:11" ht="14.5" x14ac:dyDescent="0.35">
      <c r="A92" t="s">
        <v>130</v>
      </c>
      <c r="B92" s="3" t="s">
        <v>254</v>
      </c>
      <c r="C92" t="s">
        <v>17</v>
      </c>
      <c r="D92" t="s">
        <v>32</v>
      </c>
      <c r="E92" t="s">
        <v>13</v>
      </c>
      <c r="F92">
        <v>8</v>
      </c>
      <c r="G92">
        <v>75000</v>
      </c>
      <c r="H92">
        <v>600000</v>
      </c>
      <c r="I92">
        <f t="shared" si="1"/>
        <v>150000</v>
      </c>
      <c r="J92" t="s">
        <v>33</v>
      </c>
      <c r="K92" t="s">
        <v>43</v>
      </c>
    </row>
    <row r="93" spans="1:11" ht="14.5" x14ac:dyDescent="0.35">
      <c r="A93" t="s">
        <v>131</v>
      </c>
      <c r="B93" s="3" t="s">
        <v>255</v>
      </c>
      <c r="C93" t="s">
        <v>38</v>
      </c>
      <c r="D93" t="s">
        <v>39</v>
      </c>
      <c r="E93" t="s">
        <v>19</v>
      </c>
      <c r="F93">
        <v>6</v>
      </c>
      <c r="G93">
        <v>100000</v>
      </c>
      <c r="H93">
        <v>600000</v>
      </c>
      <c r="I93">
        <f t="shared" si="1"/>
        <v>150000</v>
      </c>
      <c r="J93" t="s">
        <v>14</v>
      </c>
      <c r="K93" t="s">
        <v>20</v>
      </c>
    </row>
    <row r="94" spans="1:11" ht="14.5" x14ac:dyDescent="0.35">
      <c r="A94" t="s">
        <v>132</v>
      </c>
      <c r="B94" s="3" t="s">
        <v>256</v>
      </c>
      <c r="C94" t="s">
        <v>22</v>
      </c>
      <c r="D94" t="s">
        <v>52</v>
      </c>
      <c r="E94" t="s">
        <v>19</v>
      </c>
      <c r="F94">
        <v>3</v>
      </c>
      <c r="G94">
        <v>25000</v>
      </c>
      <c r="H94">
        <v>75000</v>
      </c>
      <c r="I94">
        <f t="shared" si="1"/>
        <v>18750</v>
      </c>
      <c r="J94" t="s">
        <v>42</v>
      </c>
      <c r="K94" t="s">
        <v>15</v>
      </c>
    </row>
    <row r="95" spans="1:11" ht="14.5" x14ac:dyDescent="0.35">
      <c r="A95" t="s">
        <v>133</v>
      </c>
      <c r="B95" s="3" t="s">
        <v>257</v>
      </c>
      <c r="C95" t="s">
        <v>26</v>
      </c>
      <c r="D95" t="s">
        <v>23</v>
      </c>
      <c r="E95" t="s">
        <v>19</v>
      </c>
      <c r="F95">
        <v>3</v>
      </c>
      <c r="G95">
        <v>15000</v>
      </c>
      <c r="H95">
        <v>45000</v>
      </c>
      <c r="I95">
        <f t="shared" si="1"/>
        <v>11250</v>
      </c>
      <c r="J95" t="s">
        <v>42</v>
      </c>
      <c r="K95" t="s">
        <v>15</v>
      </c>
    </row>
    <row r="96" spans="1:11" ht="14.5" x14ac:dyDescent="0.35">
      <c r="A96" t="s">
        <v>134</v>
      </c>
      <c r="B96" s="3" t="s">
        <v>258</v>
      </c>
      <c r="C96" t="s">
        <v>54</v>
      </c>
      <c r="D96" t="s">
        <v>32</v>
      </c>
      <c r="E96" t="s">
        <v>13</v>
      </c>
      <c r="F96">
        <v>5</v>
      </c>
      <c r="G96">
        <v>25000</v>
      </c>
      <c r="H96">
        <v>125000</v>
      </c>
      <c r="I96">
        <f t="shared" si="1"/>
        <v>31250</v>
      </c>
      <c r="J96" t="s">
        <v>28</v>
      </c>
      <c r="K96" t="s">
        <v>40</v>
      </c>
    </row>
    <row r="97" spans="1:11" ht="14.5" x14ac:dyDescent="0.35">
      <c r="A97" t="s">
        <v>135</v>
      </c>
      <c r="B97" s="3" t="s">
        <v>259</v>
      </c>
      <c r="C97" t="s">
        <v>31</v>
      </c>
      <c r="D97" t="s">
        <v>27</v>
      </c>
      <c r="E97" t="s">
        <v>13</v>
      </c>
      <c r="F97">
        <v>1</v>
      </c>
      <c r="G97">
        <v>15000</v>
      </c>
      <c r="H97">
        <v>15000</v>
      </c>
      <c r="I97">
        <f t="shared" si="1"/>
        <v>3750</v>
      </c>
      <c r="J97" t="s">
        <v>33</v>
      </c>
      <c r="K97" t="s">
        <v>24</v>
      </c>
    </row>
    <row r="98" spans="1:11" ht="14.5" x14ac:dyDescent="0.35">
      <c r="A98" t="s">
        <v>136</v>
      </c>
      <c r="B98" s="3" t="s">
        <v>181</v>
      </c>
      <c r="C98" t="s">
        <v>31</v>
      </c>
      <c r="D98" t="s">
        <v>45</v>
      </c>
      <c r="E98" t="s">
        <v>19</v>
      </c>
      <c r="F98">
        <v>5</v>
      </c>
      <c r="G98">
        <v>75000</v>
      </c>
      <c r="H98">
        <v>375000</v>
      </c>
      <c r="I98">
        <f t="shared" si="1"/>
        <v>93750</v>
      </c>
      <c r="J98" t="s">
        <v>28</v>
      </c>
      <c r="K98" t="s">
        <v>40</v>
      </c>
    </row>
    <row r="99" spans="1:11" ht="14.5" x14ac:dyDescent="0.35">
      <c r="A99" t="s">
        <v>137</v>
      </c>
      <c r="B99" s="3" t="s">
        <v>192</v>
      </c>
      <c r="C99" t="s">
        <v>54</v>
      </c>
      <c r="D99" t="s">
        <v>32</v>
      </c>
      <c r="E99" t="s">
        <v>13</v>
      </c>
      <c r="F99">
        <v>7</v>
      </c>
      <c r="G99">
        <v>100000</v>
      </c>
      <c r="H99">
        <v>700000</v>
      </c>
      <c r="I99">
        <f t="shared" si="1"/>
        <v>175000</v>
      </c>
      <c r="J99" t="s">
        <v>14</v>
      </c>
      <c r="K99" t="s">
        <v>66</v>
      </c>
    </row>
    <row r="100" spans="1:11" ht="14.5" x14ac:dyDescent="0.35">
      <c r="A100" t="s">
        <v>138</v>
      </c>
      <c r="B100" s="3" t="s">
        <v>173</v>
      </c>
      <c r="C100" t="s">
        <v>54</v>
      </c>
      <c r="D100" t="s">
        <v>18</v>
      </c>
      <c r="E100" t="s">
        <v>19</v>
      </c>
      <c r="F100">
        <v>7</v>
      </c>
      <c r="G100">
        <v>25000</v>
      </c>
      <c r="H100">
        <v>175000</v>
      </c>
      <c r="I100">
        <f t="shared" si="1"/>
        <v>43750</v>
      </c>
      <c r="J100" t="s">
        <v>14</v>
      </c>
      <c r="K100" t="s">
        <v>24</v>
      </c>
    </row>
    <row r="101" spans="1:11" ht="14.5" x14ac:dyDescent="0.35">
      <c r="A101" t="s">
        <v>139</v>
      </c>
      <c r="B101" s="3" t="s">
        <v>260</v>
      </c>
      <c r="C101" t="s">
        <v>17</v>
      </c>
      <c r="D101" t="s">
        <v>23</v>
      </c>
      <c r="E101" t="s">
        <v>19</v>
      </c>
      <c r="F101">
        <v>9</v>
      </c>
      <c r="G101">
        <v>100000</v>
      </c>
      <c r="H101">
        <v>900000</v>
      </c>
      <c r="I101">
        <f t="shared" si="1"/>
        <v>225000</v>
      </c>
      <c r="J101" t="s">
        <v>14</v>
      </c>
      <c r="K101" t="s">
        <v>29</v>
      </c>
    </row>
    <row r="102" spans="1:11" ht="14.5" x14ac:dyDescent="0.35">
      <c r="A102" t="s">
        <v>140</v>
      </c>
      <c r="B102" s="3" t="s">
        <v>261</v>
      </c>
      <c r="C102" t="s">
        <v>17</v>
      </c>
      <c r="D102" t="s">
        <v>32</v>
      </c>
      <c r="E102" t="s">
        <v>13</v>
      </c>
      <c r="F102">
        <v>3</v>
      </c>
      <c r="G102">
        <v>15000</v>
      </c>
      <c r="H102">
        <v>45000</v>
      </c>
      <c r="I102">
        <f t="shared" si="1"/>
        <v>11250</v>
      </c>
      <c r="J102" t="s">
        <v>33</v>
      </c>
      <c r="K102" t="s">
        <v>24</v>
      </c>
    </row>
    <row r="103" spans="1:11" ht="14.5" x14ac:dyDescent="0.35">
      <c r="A103" t="s">
        <v>141</v>
      </c>
      <c r="B103" s="3" t="s">
        <v>262</v>
      </c>
      <c r="C103" t="s">
        <v>54</v>
      </c>
      <c r="D103" t="s">
        <v>23</v>
      </c>
      <c r="E103" t="s">
        <v>19</v>
      </c>
      <c r="F103">
        <v>7</v>
      </c>
      <c r="G103">
        <v>15000</v>
      </c>
      <c r="H103">
        <v>105000</v>
      </c>
      <c r="I103">
        <f t="shared" si="1"/>
        <v>26250</v>
      </c>
      <c r="J103" t="s">
        <v>28</v>
      </c>
      <c r="K103" t="s">
        <v>66</v>
      </c>
    </row>
    <row r="104" spans="1:11" ht="14.5" x14ac:dyDescent="0.35">
      <c r="A104" t="s">
        <v>142</v>
      </c>
      <c r="B104" s="3" t="s">
        <v>263</v>
      </c>
      <c r="C104" t="s">
        <v>26</v>
      </c>
      <c r="D104" t="s">
        <v>12</v>
      </c>
      <c r="E104" t="s">
        <v>13</v>
      </c>
      <c r="F104">
        <v>1</v>
      </c>
      <c r="G104">
        <v>25000</v>
      </c>
      <c r="H104">
        <v>25000</v>
      </c>
      <c r="I104">
        <f t="shared" si="1"/>
        <v>6250</v>
      </c>
      <c r="J104" t="s">
        <v>14</v>
      </c>
      <c r="K104" t="s">
        <v>36</v>
      </c>
    </row>
    <row r="105" spans="1:11" ht="14.5" x14ac:dyDescent="0.35">
      <c r="A105" t="s">
        <v>143</v>
      </c>
      <c r="B105" s="3" t="s">
        <v>264</v>
      </c>
      <c r="C105" t="s">
        <v>17</v>
      </c>
      <c r="D105" t="s">
        <v>27</v>
      </c>
      <c r="E105" t="s">
        <v>13</v>
      </c>
      <c r="F105">
        <v>4</v>
      </c>
      <c r="G105">
        <v>75000</v>
      </c>
      <c r="H105">
        <v>300000</v>
      </c>
      <c r="I105">
        <f t="shared" si="1"/>
        <v>75000</v>
      </c>
      <c r="J105" t="s">
        <v>33</v>
      </c>
      <c r="K105" t="s">
        <v>29</v>
      </c>
    </row>
    <row r="106" spans="1:11" ht="14.5" x14ac:dyDescent="0.35">
      <c r="A106" t="s">
        <v>144</v>
      </c>
      <c r="B106" s="3" t="s">
        <v>265</v>
      </c>
      <c r="C106" t="s">
        <v>11</v>
      </c>
      <c r="D106" t="s">
        <v>27</v>
      </c>
      <c r="E106" t="s">
        <v>13</v>
      </c>
      <c r="F106">
        <v>4</v>
      </c>
      <c r="G106">
        <v>50000</v>
      </c>
      <c r="H106">
        <v>200000</v>
      </c>
      <c r="I106">
        <f t="shared" si="1"/>
        <v>50000</v>
      </c>
      <c r="J106" t="s">
        <v>14</v>
      </c>
      <c r="K106" t="s">
        <v>43</v>
      </c>
    </row>
    <row r="107" spans="1:11" ht="14.5" x14ac:dyDescent="0.35">
      <c r="A107" t="s">
        <v>145</v>
      </c>
      <c r="B107" s="3" t="s">
        <v>266</v>
      </c>
      <c r="C107" t="s">
        <v>35</v>
      </c>
      <c r="D107" t="s">
        <v>52</v>
      </c>
      <c r="E107" t="s">
        <v>19</v>
      </c>
      <c r="F107">
        <v>5</v>
      </c>
      <c r="G107">
        <v>25000</v>
      </c>
      <c r="H107">
        <v>125000</v>
      </c>
      <c r="I107">
        <f t="shared" si="1"/>
        <v>31250</v>
      </c>
      <c r="J107" t="s">
        <v>42</v>
      </c>
      <c r="K107" t="s">
        <v>36</v>
      </c>
    </row>
    <row r="108" spans="1:11" ht="14.5" x14ac:dyDescent="0.35">
      <c r="A108" t="s">
        <v>146</v>
      </c>
      <c r="B108" s="3" t="s">
        <v>267</v>
      </c>
      <c r="C108" t="s">
        <v>31</v>
      </c>
      <c r="D108" t="s">
        <v>27</v>
      </c>
      <c r="E108" t="s">
        <v>13</v>
      </c>
      <c r="F108">
        <v>7</v>
      </c>
      <c r="G108">
        <v>50000</v>
      </c>
      <c r="H108">
        <v>350000</v>
      </c>
      <c r="I108">
        <f t="shared" si="1"/>
        <v>87500</v>
      </c>
      <c r="J108" t="s">
        <v>42</v>
      </c>
      <c r="K108" t="s">
        <v>15</v>
      </c>
    </row>
    <row r="109" spans="1:11" ht="14.5" x14ac:dyDescent="0.35">
      <c r="A109" t="s">
        <v>147</v>
      </c>
      <c r="B109" s="3" t="s">
        <v>268</v>
      </c>
      <c r="C109" t="s">
        <v>38</v>
      </c>
      <c r="D109" t="s">
        <v>23</v>
      </c>
      <c r="E109" t="s">
        <v>19</v>
      </c>
      <c r="F109">
        <v>7</v>
      </c>
      <c r="G109">
        <v>20000</v>
      </c>
      <c r="H109">
        <v>140000</v>
      </c>
      <c r="I109">
        <f t="shared" si="1"/>
        <v>35000</v>
      </c>
      <c r="J109" t="s">
        <v>28</v>
      </c>
      <c r="K109" t="s">
        <v>20</v>
      </c>
    </row>
    <row r="110" spans="1:11" ht="14.5" x14ac:dyDescent="0.35">
      <c r="A110" t="s">
        <v>148</v>
      </c>
      <c r="B110" s="3" t="s">
        <v>269</v>
      </c>
      <c r="C110" t="s">
        <v>22</v>
      </c>
      <c r="D110" t="s">
        <v>45</v>
      </c>
      <c r="E110" t="s">
        <v>19</v>
      </c>
      <c r="F110">
        <v>4</v>
      </c>
      <c r="G110">
        <v>50000</v>
      </c>
      <c r="H110">
        <v>200000</v>
      </c>
      <c r="I110">
        <f t="shared" si="1"/>
        <v>50000</v>
      </c>
      <c r="J110" t="s">
        <v>14</v>
      </c>
      <c r="K110" t="s">
        <v>29</v>
      </c>
    </row>
    <row r="111" spans="1:11" ht="14.5" x14ac:dyDescent="0.35">
      <c r="A111" t="s">
        <v>149</v>
      </c>
      <c r="B111" s="3" t="s">
        <v>270</v>
      </c>
      <c r="C111" t="s">
        <v>11</v>
      </c>
      <c r="D111" t="s">
        <v>18</v>
      </c>
      <c r="E111" t="s">
        <v>19</v>
      </c>
      <c r="F111">
        <v>7</v>
      </c>
      <c r="G111">
        <v>75000</v>
      </c>
      <c r="H111">
        <v>525000</v>
      </c>
      <c r="I111">
        <f t="shared" si="1"/>
        <v>131250</v>
      </c>
      <c r="J111" t="s">
        <v>14</v>
      </c>
      <c r="K111" t="s">
        <v>29</v>
      </c>
    </row>
    <row r="112" spans="1:11" ht="14.5" x14ac:dyDescent="0.35">
      <c r="B112" s="5"/>
    </row>
    <row r="113" spans="2:2" ht="14.5" x14ac:dyDescent="0.35">
      <c r="B113" s="5"/>
    </row>
    <row r="114" spans="2:2" ht="14.5" x14ac:dyDescent="0.35">
      <c r="B114" s="5"/>
    </row>
    <row r="115" spans="2:2" ht="14.5" x14ac:dyDescent="0.35">
      <c r="B115" s="5"/>
    </row>
    <row r="116" spans="2:2" ht="14.5" x14ac:dyDescent="0.35">
      <c r="B116" s="5"/>
    </row>
    <row r="117" spans="2:2" ht="14.5" x14ac:dyDescent="0.35">
      <c r="B117" s="5"/>
    </row>
    <row r="118" spans="2:2" ht="14.5" x14ac:dyDescent="0.35">
      <c r="B118" s="5"/>
    </row>
    <row r="193" spans="2:2" ht="14.5" x14ac:dyDescent="0.35">
      <c r="B193" s="5"/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6EE2-C73F-4875-8FDF-BD678AAAC06D}">
  <dimension ref="A3:D57"/>
  <sheetViews>
    <sheetView topLeftCell="A56" workbookViewId="0">
      <selection activeCell="C15" sqref="C15"/>
    </sheetView>
  </sheetViews>
  <sheetFormatPr defaultRowHeight="14.5" x14ac:dyDescent="0.35"/>
  <cols>
    <col min="1" max="1" width="10.7265625" bestFit="1" customWidth="1"/>
    <col min="2" max="2" width="16.54296875" bestFit="1" customWidth="1"/>
    <col min="3" max="3" width="18.7265625" customWidth="1"/>
    <col min="4" max="4" width="11.26953125" bestFit="1" customWidth="1"/>
    <col min="5" max="12" width="6.26953125" bestFit="1" customWidth="1"/>
    <col min="13" max="35" width="7.36328125" bestFit="1" customWidth="1"/>
    <col min="36" max="103" width="11.453125" bestFit="1" customWidth="1"/>
  </cols>
  <sheetData>
    <row r="3" spans="1:3" x14ac:dyDescent="0.35">
      <c r="A3" s="4" t="s">
        <v>8</v>
      </c>
      <c r="B3" t="s">
        <v>150</v>
      </c>
    </row>
    <row r="4" spans="1:3" x14ac:dyDescent="0.35">
      <c r="A4" t="s">
        <v>14</v>
      </c>
      <c r="B4">
        <v>10445000</v>
      </c>
    </row>
    <row r="5" spans="1:3" x14ac:dyDescent="0.35">
      <c r="A5" t="s">
        <v>33</v>
      </c>
      <c r="B5">
        <v>7480000</v>
      </c>
    </row>
    <row r="6" spans="1:3" x14ac:dyDescent="0.35">
      <c r="A6" t="s">
        <v>42</v>
      </c>
      <c r="B6">
        <v>6335000</v>
      </c>
    </row>
    <row r="7" spans="1:3" x14ac:dyDescent="0.35">
      <c r="A7" t="s">
        <v>28</v>
      </c>
      <c r="B7">
        <v>3820000</v>
      </c>
    </row>
    <row r="8" spans="1:3" x14ac:dyDescent="0.35">
      <c r="A8" t="s">
        <v>151</v>
      </c>
      <c r="B8">
        <v>28080000</v>
      </c>
    </row>
    <row r="11" spans="1:3" x14ac:dyDescent="0.35">
      <c r="A11" s="4" t="s">
        <v>4</v>
      </c>
      <c r="B11" s="4" t="s">
        <v>8</v>
      </c>
      <c r="C11" t="s">
        <v>150</v>
      </c>
    </row>
    <row r="12" spans="1:3" x14ac:dyDescent="0.35">
      <c r="A12" t="s">
        <v>19</v>
      </c>
      <c r="B12" t="s">
        <v>28</v>
      </c>
      <c r="C12">
        <v>2675000</v>
      </c>
    </row>
    <row r="13" spans="1:3" x14ac:dyDescent="0.35">
      <c r="B13" t="s">
        <v>14</v>
      </c>
      <c r="C13">
        <v>6870000</v>
      </c>
    </row>
    <row r="14" spans="1:3" x14ac:dyDescent="0.35">
      <c r="B14" t="s">
        <v>42</v>
      </c>
      <c r="C14">
        <v>3405000</v>
      </c>
    </row>
    <row r="15" spans="1:3" x14ac:dyDescent="0.35">
      <c r="B15" t="s">
        <v>33</v>
      </c>
      <c r="C15">
        <v>3270000</v>
      </c>
    </row>
    <row r="16" spans="1:3" x14ac:dyDescent="0.35">
      <c r="A16" t="s">
        <v>152</v>
      </c>
      <c r="C16">
        <v>16220000</v>
      </c>
    </row>
    <row r="17" spans="1:3" x14ac:dyDescent="0.35">
      <c r="A17" t="s">
        <v>13</v>
      </c>
      <c r="B17" t="s">
        <v>28</v>
      </c>
      <c r="C17">
        <v>1145000</v>
      </c>
    </row>
    <row r="18" spans="1:3" x14ac:dyDescent="0.35">
      <c r="B18" t="s">
        <v>14</v>
      </c>
      <c r="C18">
        <v>3575000</v>
      </c>
    </row>
    <row r="19" spans="1:3" x14ac:dyDescent="0.35">
      <c r="B19" t="s">
        <v>42</v>
      </c>
      <c r="C19">
        <v>2930000</v>
      </c>
    </row>
    <row r="20" spans="1:3" x14ac:dyDescent="0.35">
      <c r="B20" t="s">
        <v>33</v>
      </c>
      <c r="C20">
        <v>4210000</v>
      </c>
    </row>
    <row r="21" spans="1:3" x14ac:dyDescent="0.35">
      <c r="A21" t="s">
        <v>153</v>
      </c>
      <c r="C21">
        <v>11860000</v>
      </c>
    </row>
    <row r="22" spans="1:3" x14ac:dyDescent="0.35">
      <c r="A22" t="s">
        <v>151</v>
      </c>
      <c r="C22">
        <v>28080000</v>
      </c>
    </row>
    <row r="25" spans="1:3" x14ac:dyDescent="0.35">
      <c r="A25" s="4" t="s">
        <v>9</v>
      </c>
      <c r="B25" t="s">
        <v>150</v>
      </c>
    </row>
    <row r="26" spans="1:3" x14ac:dyDescent="0.35">
      <c r="A26" t="s">
        <v>40</v>
      </c>
      <c r="B26" s="9">
        <v>3670000</v>
      </c>
    </row>
    <row r="27" spans="1:3" x14ac:dyDescent="0.35">
      <c r="A27" t="s">
        <v>24</v>
      </c>
      <c r="B27" s="9">
        <v>3695000</v>
      </c>
    </row>
    <row r="28" spans="1:3" x14ac:dyDescent="0.35">
      <c r="A28" t="s">
        <v>29</v>
      </c>
      <c r="B28" s="9">
        <v>3750000</v>
      </c>
    </row>
    <row r="29" spans="1:3" x14ac:dyDescent="0.35">
      <c r="A29" t="s">
        <v>43</v>
      </c>
      <c r="B29" s="9">
        <v>4265000</v>
      </c>
    </row>
    <row r="30" spans="1:3" x14ac:dyDescent="0.35">
      <c r="A30" t="s">
        <v>15</v>
      </c>
      <c r="B30" s="9">
        <v>4310000</v>
      </c>
    </row>
    <row r="31" spans="1:3" x14ac:dyDescent="0.35">
      <c r="A31" t="s">
        <v>151</v>
      </c>
      <c r="B31" s="9">
        <v>19690000</v>
      </c>
    </row>
    <row r="34" spans="1:4" x14ac:dyDescent="0.35">
      <c r="A34" s="4" t="s">
        <v>150</v>
      </c>
      <c r="B34" s="4" t="s">
        <v>169</v>
      </c>
    </row>
    <row r="35" spans="1:4" x14ac:dyDescent="0.35">
      <c r="A35" s="4" t="s">
        <v>154</v>
      </c>
      <c r="B35" t="s">
        <v>155</v>
      </c>
      <c r="C35" t="s">
        <v>156</v>
      </c>
      <c r="D35" t="s">
        <v>151</v>
      </c>
    </row>
    <row r="36" spans="1:4" x14ac:dyDescent="0.35">
      <c r="A36" s="7" t="s">
        <v>157</v>
      </c>
      <c r="B36" s="9">
        <v>1425000</v>
      </c>
      <c r="C36" s="9">
        <v>840000</v>
      </c>
      <c r="D36" s="9">
        <v>2265000</v>
      </c>
    </row>
    <row r="37" spans="1:4" x14ac:dyDescent="0.35">
      <c r="A37" s="7" t="s">
        <v>158</v>
      </c>
      <c r="B37" s="9">
        <v>1220000</v>
      </c>
      <c r="C37" s="9">
        <v>320000</v>
      </c>
      <c r="D37" s="9">
        <v>1540000</v>
      </c>
    </row>
    <row r="38" spans="1:4" x14ac:dyDescent="0.35">
      <c r="A38" s="7" t="s">
        <v>159</v>
      </c>
      <c r="B38" s="9">
        <v>650000</v>
      </c>
      <c r="C38" s="9">
        <v>1250000</v>
      </c>
      <c r="D38" s="9">
        <v>1900000</v>
      </c>
    </row>
    <row r="39" spans="1:4" x14ac:dyDescent="0.35">
      <c r="A39" s="7" t="s">
        <v>160</v>
      </c>
      <c r="B39" s="9">
        <v>625000</v>
      </c>
      <c r="C39" s="9">
        <v>285000</v>
      </c>
      <c r="D39" s="9">
        <v>910000</v>
      </c>
    </row>
    <row r="40" spans="1:4" x14ac:dyDescent="0.35">
      <c r="A40" s="7" t="s">
        <v>161</v>
      </c>
      <c r="B40" s="9">
        <v>725000</v>
      </c>
      <c r="C40" s="9">
        <v>150000</v>
      </c>
      <c r="D40" s="9">
        <v>875000</v>
      </c>
    </row>
    <row r="41" spans="1:4" x14ac:dyDescent="0.35">
      <c r="A41" s="7" t="s">
        <v>162</v>
      </c>
      <c r="B41" s="9">
        <v>2690000</v>
      </c>
      <c r="C41" s="9">
        <v>1720000</v>
      </c>
      <c r="D41" s="9">
        <v>4410000</v>
      </c>
    </row>
    <row r="42" spans="1:4" x14ac:dyDescent="0.35">
      <c r="A42" s="7" t="s">
        <v>163</v>
      </c>
      <c r="B42" s="9">
        <v>1700000</v>
      </c>
      <c r="C42" s="9">
        <v>1475000</v>
      </c>
      <c r="D42" s="9">
        <v>3175000</v>
      </c>
    </row>
    <row r="43" spans="1:4" x14ac:dyDescent="0.35">
      <c r="A43" s="7" t="s">
        <v>164</v>
      </c>
      <c r="B43" s="9">
        <v>570000</v>
      </c>
      <c r="C43" s="9">
        <v>845000</v>
      </c>
      <c r="D43" s="9">
        <v>1415000</v>
      </c>
    </row>
    <row r="44" spans="1:4" x14ac:dyDescent="0.35">
      <c r="A44" s="7" t="s">
        <v>165</v>
      </c>
      <c r="B44" s="9">
        <v>3125000</v>
      </c>
      <c r="C44" s="9">
        <v>1135000</v>
      </c>
      <c r="D44" s="9">
        <v>4260000</v>
      </c>
    </row>
    <row r="45" spans="1:4" x14ac:dyDescent="0.35">
      <c r="A45" s="7" t="s">
        <v>166</v>
      </c>
      <c r="B45" s="9">
        <v>450000</v>
      </c>
      <c r="C45" s="9">
        <v>1035000</v>
      </c>
      <c r="D45" s="9">
        <v>1485000</v>
      </c>
    </row>
    <row r="46" spans="1:4" x14ac:dyDescent="0.35">
      <c r="A46" s="7" t="s">
        <v>167</v>
      </c>
      <c r="B46" s="9">
        <v>930000</v>
      </c>
      <c r="C46" s="9">
        <v>2180000</v>
      </c>
      <c r="D46" s="9">
        <v>3110000</v>
      </c>
    </row>
    <row r="47" spans="1:4" x14ac:dyDescent="0.35">
      <c r="A47" s="7" t="s">
        <v>168</v>
      </c>
      <c r="B47" s="9">
        <v>1695000</v>
      </c>
      <c r="C47" s="9">
        <v>1040000</v>
      </c>
      <c r="D47" s="9">
        <v>2735000</v>
      </c>
    </row>
    <row r="48" spans="1:4" x14ac:dyDescent="0.35">
      <c r="A48" s="7" t="s">
        <v>151</v>
      </c>
      <c r="B48" s="9">
        <v>15805000</v>
      </c>
      <c r="C48" s="9">
        <v>12275000</v>
      </c>
      <c r="D48" s="9">
        <v>28080000</v>
      </c>
    </row>
    <row r="54" spans="1:2" x14ac:dyDescent="0.35">
      <c r="A54" s="4" t="s">
        <v>154</v>
      </c>
      <c r="B54" t="s">
        <v>170</v>
      </c>
    </row>
    <row r="55" spans="1:2" x14ac:dyDescent="0.35">
      <c r="A55" s="7" t="s">
        <v>19</v>
      </c>
      <c r="B55">
        <v>5.1617647058823533</v>
      </c>
    </row>
    <row r="56" spans="1:2" x14ac:dyDescent="0.35">
      <c r="A56" s="7" t="s">
        <v>13</v>
      </c>
      <c r="B56">
        <v>5.4285714285714288</v>
      </c>
    </row>
    <row r="57" spans="1:2" x14ac:dyDescent="0.35">
      <c r="A57" s="7" t="s">
        <v>151</v>
      </c>
      <c r="B57">
        <v>5.2636363636363637</v>
      </c>
    </row>
  </sheetData>
  <conditionalFormatting sqref="C52:C5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4:B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C3F8D-2D2F-43F9-B064-4529562F6147}">
  <dimension ref="A1"/>
  <sheetViews>
    <sheetView showGridLines="0" topLeftCell="A4" zoomScale="39" zoomScaleNormal="115" workbookViewId="0">
      <selection activeCell="AD106" sqref="AD106"/>
    </sheetView>
  </sheetViews>
  <sheetFormatPr defaultColWidth="8.7265625" defaultRowHeight="14.5" x14ac:dyDescent="0.35"/>
  <cols>
    <col min="1" max="16384" width="8.7265625" style="10"/>
  </cols>
  <sheetData/>
  <pageMargins left="0.7" right="0.7" top="0.75" bottom="0.75" header="0.3" footer="0.3"/>
  <pageSetup scale="0" firstPageNumber="0" fitToWidth="0" fitToHeight="0" orientation="landscape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Data</vt:lpstr>
      <vt:lpstr>Pivot Tables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Alicia</dc:creator>
  <cp:keywords/>
  <dc:description/>
  <cp:lastModifiedBy>Alicia B</cp:lastModifiedBy>
  <cp:revision/>
  <dcterms:created xsi:type="dcterms:W3CDTF">2025-10-28T16:53:27Z</dcterms:created>
  <dcterms:modified xsi:type="dcterms:W3CDTF">2025-12-12T19:17:12Z</dcterms:modified>
  <cp:category/>
  <cp:contentStatus/>
</cp:coreProperties>
</file>